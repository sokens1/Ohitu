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089098A-6850-4C4A-93A6-21D46A897C6C}" xr6:coauthVersionLast="47" xr6:coauthVersionMax="47" xr10:uidLastSave="{00000000-0000-0000-0000-000000000000}"/>
  <bookViews>
    <workbookView xWindow="-108" yWindow="-108" windowWidth="23256" windowHeight="12456" xr2:uid="{8115DE5C-A546-412F-831A-789A01F4CAEC}"/>
  </bookViews>
  <sheets>
    <sheet name="saisie" sheetId="1" r:id="rId1"/>
    <sheet name="renseignements" sheetId="6" r:id="rId2"/>
    <sheet name="parametres" sheetId="5" r:id="rId3"/>
    <sheet name="Etablissements" sheetId="4" r:id="rId4"/>
    <sheet name="Bureaux" sheetId="2" r:id="rId5"/>
    <sheet name="Colleges" sheetId="3" r:id="rId6"/>
  </sheets>
  <definedNames>
    <definedName name="Ancien_Siège___Serena_Mall">Bureaux!$B$16</definedName>
    <definedName name="Ancien_Siège___Serena_Mall_2">Colleges!$B$29:$B$31</definedName>
    <definedName name="Base_Technique">Bureaux!$B$17:$B$18</definedName>
    <definedName name="Base_Technique_2">Colleges!$B$32:$B$34</definedName>
    <definedName name="Exploitations_Franceville_et_Excentrées">Bureaux!$B$8</definedName>
    <definedName name="Exploitations_Franceville_et_Excentrées_2">Colleges!$B$16:$B$18</definedName>
    <definedName name="Exploitations_Littoral">Bureaux!$B$2</definedName>
    <definedName name="Exploitations_Littoral_2">Colleges!$B$2:$B$3</definedName>
    <definedName name="Exploitations_Moanda_et_Ogooué_Lolo">Bureaux!$B$9</definedName>
    <definedName name="Exploitations_Moanda_et_Ogooué_Lolo_2">Colleges!$B$19:$B$20</definedName>
    <definedName name="Exploitations_Moyen_Ogooué">Bureaux!$B$5</definedName>
    <definedName name="Exploitations_Moyen_Ogooué_2">Colleges!$B$9:$B$10</definedName>
    <definedName name="Exploitations_Ngounié">Bureaux!$B$6</definedName>
    <definedName name="Exploitations_Ngounié_2">Colleges!$B$11:$B$13</definedName>
    <definedName name="Exploitations_Nord">Bureaux!$B$21</definedName>
    <definedName name="Exploitations_Nord_2">Colleges!$B$37:$B$38</definedName>
    <definedName name="Exploitations_Ntoum_et_Vallée_Mbê">Bureaux!$B$10</definedName>
    <definedName name="Exploitations_Ntoum_et_Vallée_Mbê_2">Colleges!$B$21:$B$23</definedName>
    <definedName name="Exploitations_Nyanga_et_Excentrées">Bureaux!$B$7</definedName>
    <definedName name="Exploitations_Nyanga_et_Excentrées_2">Colleges!$B$14:$B$15</definedName>
    <definedName name="Exploitations_Ogooué_Ivindo">Bureaux!$B$3</definedName>
    <definedName name="Exploitations_Ogooué_Ivindo_2">Colleges!$B$4:$B$5</definedName>
    <definedName name="Exploitations_Owendo___Damas">Bureaux!$B$11:$B$12</definedName>
    <definedName name="Exploitations_Owendo___Damas_2">Colleges!$B$24:$B$25</definedName>
    <definedName name="Exploitations_Woleu_Ntem">Bureaux!$B$4</definedName>
    <definedName name="Exploitations_Woleu_Ntem_2">Colleges!$B$6:$B$8</definedName>
    <definedName name="Nouveau_Siège">Bureaux!$B$13:$B$15</definedName>
    <definedName name="Nouveau_Siège_2">Colleges!$B$26:$B$28</definedName>
    <definedName name="Peyrie">Bureaux!$B$19:$B$20</definedName>
    <definedName name="Peyrie_2">Colleges!$B$35:$B$36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" i="2"/>
</calcChain>
</file>

<file path=xl/sharedStrings.xml><?xml version="1.0" encoding="utf-8"?>
<sst xmlns="http://schemas.openxmlformats.org/spreadsheetml/2006/main" count="249" uniqueCount="90">
  <si>
    <t>College</t>
  </si>
  <si>
    <t>Etablissement Exploitations Littoral</t>
  </si>
  <si>
    <t xml:space="preserve">Salle de Réunion </t>
  </si>
  <si>
    <t>Etablissement Exploitations Ogooué-Ivindo</t>
  </si>
  <si>
    <t>Hall de l'infirmerie</t>
  </si>
  <si>
    <t>Etablissement Exploitations Woleu-Ntem</t>
  </si>
  <si>
    <t xml:space="preserve">Salle de réunion </t>
  </si>
  <si>
    <t>Etablissement Exploitations Moyen-Ogooué</t>
  </si>
  <si>
    <t>Etablissement Exploitations Ngounié</t>
  </si>
  <si>
    <t>Etablissement Exploitations Nyanga et Excentrées</t>
  </si>
  <si>
    <t>Etablissement Exploitations Franceville et Excentrées</t>
  </si>
  <si>
    <t>Etablissement Exploitations Moanda et Ogooué-Lolo</t>
  </si>
  <si>
    <t>COP de Ntoum</t>
  </si>
  <si>
    <t>Etablissement Exploitations Owendo - Damas</t>
  </si>
  <si>
    <t xml:space="preserve"> Salle G7</t>
  </si>
  <si>
    <t xml:space="preserve"> Salle G8</t>
  </si>
  <si>
    <t>Etablissement Nouveau Siège</t>
  </si>
  <si>
    <t>6ème étage</t>
  </si>
  <si>
    <t>7ème étage</t>
  </si>
  <si>
    <t>9ème étage</t>
  </si>
  <si>
    <t>Etablissement Ancien Siège - Serena Mall</t>
  </si>
  <si>
    <t>Restaurant</t>
  </si>
  <si>
    <t>Etablissement Base-Technique</t>
  </si>
  <si>
    <t>Salle de réunion DAS</t>
  </si>
  <si>
    <t>Atelier Maintenance</t>
  </si>
  <si>
    <t>Etablissement Peyrie</t>
  </si>
  <si>
    <t>Hall Peyrie</t>
  </si>
  <si>
    <t>Salle de réunion</t>
  </si>
  <si>
    <t>Etablissement Exploitations Nord</t>
  </si>
  <si>
    <t>Hall Agence Nzeng-Ayong</t>
  </si>
  <si>
    <t>Nom_plage</t>
  </si>
  <si>
    <t>Encadrement</t>
  </si>
  <si>
    <t>Exécution</t>
  </si>
  <si>
    <t>Cadre</t>
  </si>
  <si>
    <t>Maîtrise</t>
  </si>
  <si>
    <t>Etablissement Exploitations Ntoum et Vallée Mbê</t>
  </si>
  <si>
    <t>role</t>
  </si>
  <si>
    <t>nom</t>
  </si>
  <si>
    <t>password</t>
  </si>
  <si>
    <t>election</t>
  </si>
  <si>
    <t>etablissement</t>
  </si>
  <si>
    <t>bureau</t>
  </si>
  <si>
    <t>encadrement</t>
  </si>
  <si>
    <t>cadre</t>
  </si>
  <si>
    <t>maitrise</t>
  </si>
  <si>
    <t>execution</t>
  </si>
  <si>
    <t>Roles</t>
  </si>
  <si>
    <t>Elections</t>
  </si>
  <si>
    <t>Élection des Délégués du Personnel SEEG 2026</t>
  </si>
  <si>
    <t>1er Tour Élections Législatives du 1er Arr.</t>
  </si>
  <si>
    <t>2nd Tour Élections Législatives du 1er Arr.</t>
  </si>
  <si>
    <t>Élections Locales du 1er Arr.</t>
  </si>
  <si>
    <t>Super Administrateur</t>
  </si>
  <si>
    <t>Administrateur</t>
  </si>
  <si>
    <t>Validateur</t>
  </si>
  <si>
    <t>Agent de Saisie</t>
  </si>
  <si>
    <t>Observateur</t>
  </si>
  <si>
    <t>Président de Bureau</t>
  </si>
  <si>
    <t>Remplaçant</t>
  </si>
  <si>
    <t>Employeur</t>
  </si>
  <si>
    <t>Oui</t>
  </si>
  <si>
    <t>Non</t>
  </si>
  <si>
    <t>Champs obligatoires</t>
  </si>
  <si>
    <t>Rôles</t>
  </si>
  <si>
    <t>Peyrie</t>
  </si>
  <si>
    <t>Exploitations_Littoral</t>
  </si>
  <si>
    <t>Exploitations_Ngounié</t>
  </si>
  <si>
    <t>Exploitations_Nyanga_et_Excentrées</t>
  </si>
  <si>
    <t>Exploitations_Franceville_et_Excentrées</t>
  </si>
  <si>
    <t>Exploitations_Ntoum_et_Vallée_Mbê</t>
  </si>
  <si>
    <t>Nouveau_Siège</t>
  </si>
  <si>
    <t>Exploitations_Nord</t>
  </si>
  <si>
    <t>Exploitations_Ogooué_Ivindo</t>
  </si>
  <si>
    <t>Exploitations_Woleu_Ntem</t>
  </si>
  <si>
    <t>Exploitations_Moyen_Ogooué</t>
  </si>
  <si>
    <t>Exploitations_Moanda_et_Ogooué_Lolo</t>
  </si>
  <si>
    <t>Exploitations_Owendo___Damas</t>
  </si>
  <si>
    <t>Ancien_Siège___Serena_Mall</t>
  </si>
  <si>
    <t>Base_Technique</t>
  </si>
  <si>
    <t>BUREAU</t>
  </si>
  <si>
    <t>ETABLISSEMENT</t>
  </si>
  <si>
    <t>COLLEGE</t>
  </si>
  <si>
    <t>etablissements (tous vides = tous)</t>
  </si>
  <si>
    <t>bureau  (tous vides = tous)</t>
  </si>
  <si>
    <t>encadrement  (tous vides = tous)</t>
  </si>
  <si>
    <t>cadre  (tous vides = tous)</t>
  </si>
  <si>
    <t>maitrise  (tous vides = tous)</t>
  </si>
  <si>
    <t>execution  (tous vides = tous)</t>
  </si>
  <si>
    <t>Champs optionnels</t>
  </si>
  <si>
    <t>Champs non concernés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</si>
</sst>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1F2937"/>
      <name val="Times New Roman"/>
      <family val="1"/>
    </font>
    <font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4" borderId="1" xfId="0" applyFont="1" applyFill="1" applyBorder="1"/>
    <xf numFmtId="0" fontId="1" fillId="3" borderId="1" xfId="0" applyFont="1" applyFill="1" applyBorder="1"/>
    <xf numFmtId="0" fontId="1" fillId="5" borderId="1" xfId="0" applyFont="1" applyFill="1" applyBorder="1"/>
    <xf numFmtId="0" fontId="1" fillId="2" borderId="3" xfId="0" applyFont="1" applyFill="1" applyBorder="1"/>
    <xf numFmtId="0" fontId="0" fillId="2" borderId="3" xfId="0" applyFill="1" applyBorder="1"/>
    <xf numFmtId="0" fontId="3" fillId="2" borderId="0" xfId="0" applyFont="1" applyFill="1"/>
    <xf numFmtId="0" fontId="4" fillId="2" borderId="1" xfId="0" applyFont="1" applyFill="1" applyBorder="1" applyAlignment="1">
      <alignment vertical="center"/>
    </xf>
    <xf numFmtId="0" fontId="5" fillId="6" borderId="0" xfId="0" applyFont="1" applyFill="1"/>
    <xf numFmtId="0" fontId="6" fillId="2" borderId="0" xfId="0" applyFont="1" applyFill="1"/>
    <xf numFmtId="10" fontId="6" fillId="2" borderId="0" xfId="0" applyNumberFormat="1" applyFont="1" applyFill="1"/>
    <xf numFmtId="0" fontId="5" fillId="6" borderId="4" xfId="0" applyFont="1" applyFill="1" applyBorder="1"/>
    <xf numFmtId="10" fontId="5" fillId="6" borderId="0" xfId="0" applyNumberFormat="1" applyFont="1" applyFill="1"/>
    <xf numFmtId="10" fontId="5" fillId="6" borderId="4" xfId="0" applyNumberFormat="1" applyFont="1" applyFill="1" applyBorder="1"/>
    <xf numFmtId="0" fontId="6" fillId="2" borderId="4" xfId="0" applyFont="1" applyFill="1" applyBorder="1"/>
    <xf numFmtId="10" fontId="6" fillId="2" borderId="4" xfId="0" applyNumberFormat="1" applyFont="1" applyFill="1" applyBorder="1"/>
    <xf numFmtId="0" fontId="5" fillId="6" borderId="2" xfId="0" applyFont="1" applyFill="1" applyBorder="1"/>
    <xf numFmtId="10" fontId="5" fillId="6" borderId="2" xfId="0" applyNumberFormat="1" applyFont="1" applyFill="1" applyBorder="1"/>
    <xf numFmtId="0" fontId="5" fillId="6" borderId="5" xfId="0" applyFont="1" applyFill="1" applyBorder="1"/>
    <xf numFmtId="10" fontId="5" fillId="6" borderId="5" xfId="0" applyNumberFormat="1" applyFont="1" applyFill="1" applyBorder="1"/>
    <xf numFmtId="0" fontId="0" fillId="2" borderId="2" xfId="0" applyFill="1" applyBorder="1"/>
    <xf numFmtId="0" fontId="1" fillId="4" borderId="6" xfId="0" applyFont="1" applyFill="1" applyBorder="1"/>
    <xf numFmtId="0" fontId="1" fillId="4" borderId="11" xfId="0" applyFont="1" applyFill="1" applyBorder="1"/>
    <xf numFmtId="0" fontId="1" fillId="3" borderId="12" xfId="0" applyFont="1" applyFill="1" applyBorder="1"/>
    <xf numFmtId="0" fontId="1" fillId="4" borderId="12" xfId="0" applyFont="1" applyFill="1" applyBorder="1"/>
    <xf numFmtId="0" fontId="0" fillId="2" borderId="7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7" xfId="0" applyFill="1" applyBorder="1"/>
    <xf numFmtId="0" fontId="0" fillId="2" borderId="21" xfId="0" applyFill="1" applyBorder="1"/>
    <xf numFmtId="0" fontId="1" fillId="4" borderId="23" xfId="0" applyFont="1" applyFill="1" applyBorder="1"/>
    <xf numFmtId="0" fontId="1" fillId="3" borderId="24" xfId="0" applyFont="1" applyFill="1" applyBorder="1"/>
    <xf numFmtId="0" fontId="0" fillId="2" borderId="16" xfId="0" applyFill="1" applyBorder="1"/>
    <xf numFmtId="0" fontId="0" fillId="2" borderId="18" xfId="0" applyFill="1" applyBorder="1"/>
    <xf numFmtId="0" fontId="0" fillId="2" borderId="15" xfId="0" applyFill="1" applyBorder="1"/>
    <xf numFmtId="0" fontId="0" fillId="2" borderId="19" xfId="0" applyFill="1" applyBorder="1"/>
    <xf numFmtId="0" fontId="1" fillId="4" borderId="2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B3590-9AAC-4AB9-8E3D-972161DFFACF}">
  <sheetPr codeName="Feuil1"/>
  <dimension ref="A1:X101"/>
  <sheetViews>
    <sheetView tabSelected="1" workbookViewId="0">
      <selection activeCell="A2" sqref="A2"/>
    </sheetView>
  </sheetViews>
  <sheetFormatPr baseColWidth="10" defaultColWidth="11.19921875" defaultRowHeight="15.6" x14ac:dyDescent="0.3"/>
  <cols>
    <col min="1" max="1" width="11.19921875" style="2"/>
    <col min="2" max="2" width="47.5" style="2" customWidth="1"/>
    <col min="3" max="3" width="26.09765625" style="2" customWidth="1"/>
    <col min="4" max="4" width="39.59765625" style="2" bestFit="1" customWidth="1"/>
    <col min="5" max="5" width="18.3984375" style="2" bestFit="1" customWidth="1"/>
    <col min="6" max="6" width="24.796875" style="2" bestFit="1" customWidth="1"/>
    <col min="7" max="7" width="22.8984375" style="2" bestFit="1" customWidth="1"/>
    <col min="8" max="8" width="25.09765625" style="2" bestFit="1" customWidth="1"/>
    <col min="9" max="9" width="19.09765625" style="2" bestFit="1" customWidth="1"/>
    <col min="10" max="10" width="30.59765625" style="2" bestFit="1" customWidth="1"/>
    <col min="11" max="11" width="33.8984375" style="2" bestFit="1" customWidth="1"/>
    <col min="12" max="12" width="33.3984375" style="2" bestFit="1" customWidth="1"/>
    <col min="13" max="13" width="31.09765625" style="2" bestFit="1" customWidth="1"/>
    <col min="14" max="14" width="27.69921875" style="2" bestFit="1" customWidth="1"/>
    <col min="15" max="15" width="13.296875" style="2" bestFit="1" customWidth="1"/>
    <col min="16" max="16" width="25.296875" style="2" bestFit="1" customWidth="1"/>
    <col min="17" max="17" width="14.09765625" style="2" bestFit="1" customWidth="1"/>
    <col min="18" max="18" width="6" style="2" bestFit="1" customWidth="1"/>
    <col min="19" max="19" width="16.59765625" style="2" bestFit="1" customWidth="1"/>
    <col min="20" max="16384" width="11.19921875" style="2"/>
  </cols>
  <sheetData>
    <row r="1" spans="1:24" ht="16.2" thickBot="1" x14ac:dyDescent="0.35">
      <c r="A1" s="5" t="s">
        <v>36</v>
      </c>
      <c r="B1" s="6" t="s">
        <v>37</v>
      </c>
      <c r="C1" s="6" t="s">
        <v>38</v>
      </c>
      <c r="D1" s="5" t="s">
        <v>39</v>
      </c>
      <c r="E1" s="3" t="s">
        <v>65</v>
      </c>
      <c r="F1" s="3" t="s">
        <v>72</v>
      </c>
      <c r="G1" s="3" t="s">
        <v>73</v>
      </c>
      <c r="H1" s="3" t="s">
        <v>74</v>
      </c>
      <c r="I1" s="3" t="s">
        <v>66</v>
      </c>
      <c r="J1" s="3" t="s">
        <v>67</v>
      </c>
      <c r="K1" s="3" t="s">
        <v>68</v>
      </c>
      <c r="L1" s="3" t="s">
        <v>75</v>
      </c>
      <c r="M1" s="3" t="s">
        <v>69</v>
      </c>
      <c r="N1" s="3" t="s">
        <v>76</v>
      </c>
      <c r="O1" s="3" t="s">
        <v>70</v>
      </c>
      <c r="P1" s="3" t="s">
        <v>77</v>
      </c>
      <c r="Q1" s="3" t="s">
        <v>78</v>
      </c>
      <c r="R1" s="3" t="s">
        <v>64</v>
      </c>
      <c r="S1" s="3" t="s">
        <v>71</v>
      </c>
      <c r="T1" s="5" t="s">
        <v>41</v>
      </c>
      <c r="U1" s="5" t="s">
        <v>42</v>
      </c>
      <c r="V1" s="5" t="s">
        <v>43</v>
      </c>
      <c r="W1" s="5" t="s">
        <v>44</v>
      </c>
      <c r="X1" s="5" t="s">
        <v>45</v>
      </c>
    </row>
    <row r="2" spans="1:24" x14ac:dyDescent="0.3">
      <c r="D2" s="4"/>
      <c r="E2" s="8"/>
      <c r="F2" s="8"/>
      <c r="G2" s="8"/>
      <c r="H2" s="8"/>
      <c r="I2" s="9"/>
      <c r="J2" s="9"/>
      <c r="K2" s="8"/>
      <c r="L2" s="8"/>
      <c r="M2" s="8"/>
      <c r="N2" s="8"/>
      <c r="O2" s="8"/>
      <c r="P2" s="8"/>
      <c r="Q2" s="8"/>
      <c r="R2" s="8"/>
      <c r="S2" s="8"/>
      <c r="T2" s="3"/>
    </row>
    <row r="3" spans="1:24" x14ac:dyDescent="0.3">
      <c r="E3" s="8"/>
      <c r="F3" s="8"/>
      <c r="G3" s="9"/>
      <c r="H3" s="9"/>
      <c r="I3" s="9"/>
      <c r="J3" s="9"/>
      <c r="K3" s="8"/>
      <c r="L3" s="8"/>
      <c r="M3" s="8"/>
      <c r="N3" s="8"/>
      <c r="O3" s="8"/>
      <c r="P3" s="8"/>
      <c r="Q3" s="8"/>
      <c r="R3" s="8"/>
      <c r="S3" s="8"/>
      <c r="T3" s="3"/>
      <c r="U3" s="3"/>
      <c r="V3" s="3"/>
      <c r="W3" s="3"/>
      <c r="X3" s="3"/>
    </row>
    <row r="4" spans="1:24" x14ac:dyDescent="0.3">
      <c r="E4" s="8"/>
      <c r="F4" s="8"/>
      <c r="G4" s="9"/>
      <c r="H4" s="9"/>
      <c r="I4" s="9"/>
      <c r="J4" s="9"/>
      <c r="K4" s="8"/>
      <c r="L4" s="8"/>
      <c r="M4" s="8"/>
      <c r="N4" s="8"/>
      <c r="O4" s="8"/>
      <c r="P4" s="8"/>
      <c r="Q4" s="8"/>
      <c r="R4" s="8"/>
      <c r="S4" s="8"/>
      <c r="T4" s="3"/>
      <c r="U4" s="3"/>
      <c r="V4" s="3"/>
      <c r="W4" s="3"/>
      <c r="X4" s="3"/>
    </row>
    <row r="5" spans="1:24" x14ac:dyDescent="0.3">
      <c r="E5" s="8"/>
      <c r="F5" s="8"/>
      <c r="G5" s="9"/>
      <c r="H5" s="9"/>
      <c r="I5" s="9"/>
      <c r="J5" s="9"/>
      <c r="K5" s="8"/>
      <c r="L5" s="8"/>
      <c r="M5" s="8"/>
      <c r="N5" s="8"/>
      <c r="O5" s="8"/>
      <c r="P5" s="8"/>
      <c r="Q5" s="8"/>
      <c r="R5" s="8"/>
      <c r="S5" s="8"/>
      <c r="T5" s="3"/>
      <c r="U5" s="3"/>
      <c r="V5" s="3"/>
      <c r="W5" s="3"/>
      <c r="X5" s="3"/>
    </row>
    <row r="6" spans="1:24" x14ac:dyDescent="0.3">
      <c r="E6" s="8"/>
      <c r="F6" s="8"/>
      <c r="G6" s="9"/>
      <c r="H6" s="9"/>
      <c r="I6" s="9"/>
      <c r="J6" s="9"/>
      <c r="K6" s="8"/>
      <c r="L6" s="8"/>
      <c r="M6" s="8"/>
      <c r="N6" s="8"/>
      <c r="O6" s="8"/>
      <c r="P6" s="8"/>
      <c r="Q6" s="8"/>
      <c r="R6" s="8"/>
      <c r="S6" s="8"/>
      <c r="T6" s="3"/>
      <c r="U6" s="3"/>
      <c r="V6" s="3"/>
      <c r="W6" s="3"/>
      <c r="X6" s="3"/>
    </row>
    <row r="7" spans="1:24" x14ac:dyDescent="0.3">
      <c r="E7" s="8"/>
      <c r="F7" s="8"/>
      <c r="G7" s="9"/>
      <c r="H7" s="9"/>
      <c r="I7" s="9"/>
      <c r="J7" s="9"/>
      <c r="K7" s="8"/>
      <c r="L7" s="8"/>
      <c r="M7" s="8"/>
      <c r="N7" s="8"/>
      <c r="O7" s="8"/>
      <c r="P7" s="8"/>
      <c r="Q7" s="8"/>
      <c r="R7" s="8"/>
      <c r="S7" s="8"/>
      <c r="T7" s="3"/>
      <c r="U7" s="3"/>
      <c r="V7" s="3"/>
      <c r="W7" s="3"/>
      <c r="X7" s="3"/>
    </row>
    <row r="8" spans="1:24" x14ac:dyDescent="0.3">
      <c r="E8" s="8"/>
      <c r="F8" s="8"/>
      <c r="G8" s="9"/>
      <c r="H8" s="9"/>
      <c r="I8" s="9"/>
      <c r="J8" s="9"/>
      <c r="K8" s="8"/>
      <c r="L8" s="8"/>
      <c r="M8" s="8"/>
      <c r="N8" s="8"/>
      <c r="O8" s="8"/>
      <c r="P8" s="8"/>
      <c r="Q8" s="8"/>
      <c r="R8" s="8"/>
      <c r="S8" s="8"/>
      <c r="T8" s="3"/>
      <c r="U8" s="3"/>
      <c r="V8" s="3"/>
      <c r="W8" s="3"/>
      <c r="X8" s="3"/>
    </row>
    <row r="9" spans="1:24" x14ac:dyDescent="0.3">
      <c r="E9" s="8"/>
      <c r="F9" s="8"/>
      <c r="G9" s="9"/>
      <c r="H9" s="9"/>
      <c r="I9" s="9"/>
      <c r="J9" s="9"/>
      <c r="K9" s="8"/>
      <c r="L9" s="8"/>
      <c r="M9" s="8"/>
      <c r="N9" s="8"/>
      <c r="O9" s="8"/>
      <c r="P9" s="8"/>
      <c r="Q9" s="8"/>
      <c r="R9" s="8"/>
      <c r="S9" s="8"/>
      <c r="T9" s="3"/>
      <c r="U9" s="3"/>
      <c r="V9" s="3"/>
      <c r="W9" s="3"/>
      <c r="X9" s="3"/>
    </row>
    <row r="10" spans="1:24" x14ac:dyDescent="0.3">
      <c r="E10" s="8"/>
      <c r="F10" s="9"/>
      <c r="G10" s="9"/>
      <c r="H10" s="9"/>
      <c r="I10" s="9"/>
      <c r="J10" s="9"/>
      <c r="K10" s="8"/>
      <c r="L10" s="8"/>
      <c r="M10" s="8"/>
      <c r="N10" s="8"/>
      <c r="O10" s="8"/>
      <c r="P10" s="8"/>
      <c r="Q10" s="8"/>
      <c r="R10" s="8"/>
      <c r="S10" s="8"/>
      <c r="T10" s="3"/>
      <c r="U10" s="3"/>
      <c r="V10" s="3"/>
      <c r="W10" s="3"/>
      <c r="X10" s="3"/>
    </row>
    <row r="11" spans="1:24" x14ac:dyDescent="0.3">
      <c r="E11" s="8"/>
      <c r="F11" s="9"/>
      <c r="G11" s="9"/>
      <c r="H11" s="9"/>
      <c r="I11" s="9"/>
      <c r="J11" s="9"/>
      <c r="K11" s="8"/>
      <c r="L11" s="8"/>
      <c r="M11" s="8"/>
      <c r="N11" s="8"/>
      <c r="O11" s="8"/>
      <c r="P11" s="8"/>
      <c r="Q11" s="8"/>
      <c r="R11" s="8"/>
      <c r="S11" s="8"/>
      <c r="T11" s="3"/>
      <c r="U11" s="3"/>
      <c r="V11" s="3"/>
      <c r="W11" s="3"/>
      <c r="X11" s="3"/>
    </row>
    <row r="12" spans="1:24" x14ac:dyDescent="0.3">
      <c r="E12" s="8"/>
      <c r="F12" s="9"/>
      <c r="G12" s="9"/>
      <c r="H12" s="9"/>
      <c r="I12" s="9"/>
      <c r="J12" s="9"/>
      <c r="K12" s="8"/>
      <c r="L12" s="8"/>
      <c r="M12" s="8"/>
      <c r="N12" s="8"/>
      <c r="O12" s="8"/>
      <c r="P12" s="8"/>
      <c r="Q12" s="8"/>
      <c r="R12" s="8"/>
      <c r="S12" s="8"/>
      <c r="T12" s="3"/>
      <c r="U12" s="3"/>
      <c r="V12" s="3"/>
      <c r="W12" s="3"/>
      <c r="X12" s="3"/>
    </row>
    <row r="13" spans="1:24" x14ac:dyDescent="0.3">
      <c r="E13" s="8"/>
      <c r="F13" s="9"/>
      <c r="G13" s="9"/>
      <c r="H13" s="9"/>
      <c r="I13" s="9"/>
      <c r="J13" s="9"/>
      <c r="K13" s="8"/>
      <c r="L13" s="8"/>
      <c r="M13" s="8"/>
      <c r="N13" s="8"/>
      <c r="O13" s="8"/>
      <c r="P13" s="8"/>
      <c r="Q13" s="8"/>
      <c r="R13" s="8"/>
      <c r="S13" s="8"/>
      <c r="T13" s="3"/>
      <c r="U13" s="3"/>
      <c r="V13" s="3"/>
      <c r="W13" s="3"/>
      <c r="X13" s="3"/>
    </row>
    <row r="14" spans="1:24" x14ac:dyDescent="0.3">
      <c r="E14" s="8"/>
      <c r="F14" s="9"/>
      <c r="G14" s="9"/>
      <c r="H14" s="9"/>
      <c r="I14" s="9"/>
      <c r="J14" s="9"/>
      <c r="K14" s="8"/>
      <c r="L14" s="8"/>
      <c r="M14" s="8"/>
      <c r="N14" s="8"/>
      <c r="O14" s="8"/>
      <c r="P14" s="8"/>
      <c r="Q14" s="8"/>
      <c r="R14" s="8"/>
      <c r="S14" s="8"/>
      <c r="T14" s="3"/>
      <c r="U14" s="3"/>
      <c r="V14" s="3"/>
      <c r="W14" s="3"/>
      <c r="X14" s="3"/>
    </row>
    <row r="15" spans="1:24" x14ac:dyDescent="0.3">
      <c r="E15" s="8"/>
      <c r="F15" s="9"/>
      <c r="G15" s="9"/>
      <c r="H15" s="9"/>
      <c r="I15" s="9"/>
      <c r="J15" s="9"/>
      <c r="K15" s="8"/>
      <c r="L15" s="8"/>
      <c r="M15" s="8"/>
      <c r="N15" s="8"/>
      <c r="O15" s="8"/>
      <c r="P15" s="8"/>
      <c r="Q15" s="8"/>
      <c r="R15" s="8"/>
      <c r="S15" s="8"/>
      <c r="T15" s="3"/>
      <c r="U15" s="3"/>
      <c r="V15" s="3"/>
      <c r="W15" s="3"/>
      <c r="X15" s="3"/>
    </row>
    <row r="16" spans="1:24" x14ac:dyDescent="0.3">
      <c r="E16" s="8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5:19" x14ac:dyDescent="0.3">
      <c r="E17" s="8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5:19" x14ac:dyDescent="0.3">
      <c r="E18" s="8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5:19" x14ac:dyDescent="0.3">
      <c r="E19" s="8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5:19" x14ac:dyDescent="0.3">
      <c r="E20" s="8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5:19" x14ac:dyDescent="0.3">
      <c r="E21" s="8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5:19" x14ac:dyDescent="0.3">
      <c r="E22" s="8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5:19" x14ac:dyDescent="0.3"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5:19" x14ac:dyDescent="0.3"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5:19" x14ac:dyDescent="0.3"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5:19" x14ac:dyDescent="0.3"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5:19" x14ac:dyDescent="0.3"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5:19" x14ac:dyDescent="0.3"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5:19" x14ac:dyDescent="0.3"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5:19" x14ac:dyDescent="0.3"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5:19" x14ac:dyDescent="0.3"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5:19" x14ac:dyDescent="0.3"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5:19" x14ac:dyDescent="0.3"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5:19" x14ac:dyDescent="0.3"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5:19" x14ac:dyDescent="0.3"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5:19" x14ac:dyDescent="0.3"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5:19" x14ac:dyDescent="0.3"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5:19" x14ac:dyDescent="0.3"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5:19" x14ac:dyDescent="0.3"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5:19" x14ac:dyDescent="0.3"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5:19" x14ac:dyDescent="0.3"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5:19" x14ac:dyDescent="0.3"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5:19" x14ac:dyDescent="0.3"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5:19" x14ac:dyDescent="0.3"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5:19" x14ac:dyDescent="0.3"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5:19" x14ac:dyDescent="0.3"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5:19" x14ac:dyDescent="0.3"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5:19" x14ac:dyDescent="0.3"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5:19" x14ac:dyDescent="0.3"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5:19" x14ac:dyDescent="0.3"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5:19" x14ac:dyDescent="0.3"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5:19" x14ac:dyDescent="0.3"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5:19" x14ac:dyDescent="0.3"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5:19" x14ac:dyDescent="0.3"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5:19" x14ac:dyDescent="0.3"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5:19" x14ac:dyDescent="0.3"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5:19" x14ac:dyDescent="0.3"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5:19" x14ac:dyDescent="0.3"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5:19" x14ac:dyDescent="0.3"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5:19" x14ac:dyDescent="0.3"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5:19" x14ac:dyDescent="0.3"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5:19" x14ac:dyDescent="0.3"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5:19" x14ac:dyDescent="0.3"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5:19" x14ac:dyDescent="0.3"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5:19" x14ac:dyDescent="0.3"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5:19" x14ac:dyDescent="0.3"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5:19" x14ac:dyDescent="0.3"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5:19" x14ac:dyDescent="0.3"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5:19" x14ac:dyDescent="0.3"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5:19" x14ac:dyDescent="0.3"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5:19" x14ac:dyDescent="0.3"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5:19" x14ac:dyDescent="0.3"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5:19" x14ac:dyDescent="0.3"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5:19" x14ac:dyDescent="0.3"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5:19" x14ac:dyDescent="0.3"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5:19" x14ac:dyDescent="0.3"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5:19" x14ac:dyDescent="0.3"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5:19" x14ac:dyDescent="0.3"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5:19" x14ac:dyDescent="0.3"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5:19" x14ac:dyDescent="0.3"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5:19" x14ac:dyDescent="0.3"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5:19" x14ac:dyDescent="0.3"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5:19" x14ac:dyDescent="0.3"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5:19" x14ac:dyDescent="0.3"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5:19" x14ac:dyDescent="0.3"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5:19" x14ac:dyDescent="0.3"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5:19" x14ac:dyDescent="0.3"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5:19" x14ac:dyDescent="0.3"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5:19" x14ac:dyDescent="0.3"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5:19" x14ac:dyDescent="0.3"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5:19" x14ac:dyDescent="0.3"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5:19" x14ac:dyDescent="0.3"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5:19" x14ac:dyDescent="0.3"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5:19" x14ac:dyDescent="0.3"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5:19" x14ac:dyDescent="0.3"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5:19" x14ac:dyDescent="0.3"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5:19" x14ac:dyDescent="0.3"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5:19" x14ac:dyDescent="0.3"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5:19" x14ac:dyDescent="0.3"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5:19" x14ac:dyDescent="0.3"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5:19" x14ac:dyDescent="0.3"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</sheetData>
  <dataValidations count="1">
    <dataValidation type="list" allowBlank="1" showInputMessage="1" showErrorMessage="1" sqref="T2" xr:uid="{B083197C-E8BB-4DFE-BCAF-8B24949C8733}">
      <formula1>INDIRECT(SUBSTITUTE(SUBSTITUTE(RIGHT(E2,LEN(E2)-LEN("Etablissement "))," ","_"),"-","_"))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375ED2B-0504-4408-BF6C-D7CA9976B219}">
          <x14:formula1>
            <xm:f>parametres!$A$2:$A$9</xm:f>
          </x14:formula1>
          <xm:sqref>A2:A101</xm:sqref>
        </x14:dataValidation>
        <x14:dataValidation type="list" allowBlank="1" showInputMessage="1" showErrorMessage="1" xr:uid="{79869B63-658B-4A00-B451-74952D7B3E1A}">
          <x14:formula1>
            <xm:f>parametres!$C$2:$C$3</xm:f>
          </x14:formula1>
          <xm:sqref>U2:X2 E2:S101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F2771-FBD5-4924-A95E-A7A23993BA9A}">
  <sheetPr codeName="Feuil5"/>
  <dimension ref="A1:I20"/>
  <sheetViews>
    <sheetView workbookViewId="0">
      <selection activeCell="D7" sqref="D7"/>
    </sheetView>
  </sheetViews>
  <sheetFormatPr baseColWidth="10" defaultColWidth="11.19921875" defaultRowHeight="15.6" x14ac:dyDescent="0.3"/>
  <cols>
    <col min="1" max="1" width="18.09765625" style="2" bestFit="1" customWidth="1"/>
    <col min="2" max="2" width="17.8984375" style="2" bestFit="1" customWidth="1"/>
    <col min="3" max="3" width="12.69921875" style="2" bestFit="1" customWidth="1"/>
    <col min="4" max="4" width="11.59765625" style="2" bestFit="1" customWidth="1"/>
    <col min="5" max="5" width="13.296875" style="2" bestFit="1" customWidth="1"/>
    <col min="6" max="6" width="11.19921875" style="2"/>
    <col min="7" max="7" width="13.296875" style="2" bestFit="1" customWidth="1"/>
    <col min="8" max="8" width="16.8984375" style="2" bestFit="1" customWidth="1"/>
    <col min="9" max="16384" width="11.19921875" style="2"/>
  </cols>
  <sheetData>
    <row r="1" spans="1:9" ht="16.2" thickBot="1" x14ac:dyDescent="0.35">
      <c r="A1" s="1" t="s">
        <v>63</v>
      </c>
      <c r="B1" s="7" t="s">
        <v>52</v>
      </c>
      <c r="C1" s="7" t="s">
        <v>53</v>
      </c>
      <c r="D1" s="7" t="s">
        <v>59</v>
      </c>
      <c r="E1" s="7" t="s">
        <v>56</v>
      </c>
      <c r="F1" s="7" t="s">
        <v>54</v>
      </c>
      <c r="G1" s="7" t="s">
        <v>55</v>
      </c>
      <c r="H1" s="7" t="s">
        <v>57</v>
      </c>
      <c r="I1" s="7" t="s">
        <v>58</v>
      </c>
    </row>
    <row r="2" spans="1:9" ht="16.2" thickBot="1" x14ac:dyDescent="0.35">
      <c r="A2" s="45" t="s">
        <v>62</v>
      </c>
      <c r="B2" s="34" t="s">
        <v>36</v>
      </c>
      <c r="C2" s="25" t="s">
        <v>36</v>
      </c>
      <c r="D2" s="25" t="s">
        <v>36</v>
      </c>
      <c r="E2" s="25" t="s">
        <v>36</v>
      </c>
      <c r="F2" s="25" t="s">
        <v>36</v>
      </c>
      <c r="G2" s="25" t="s">
        <v>36</v>
      </c>
      <c r="H2" s="25" t="s">
        <v>36</v>
      </c>
      <c r="I2" s="26" t="s">
        <v>36</v>
      </c>
    </row>
    <row r="3" spans="1:9" ht="16.2" thickBot="1" x14ac:dyDescent="0.35">
      <c r="A3" s="46"/>
      <c r="B3" s="35" t="s">
        <v>37</v>
      </c>
      <c r="C3" s="6" t="s">
        <v>37</v>
      </c>
      <c r="D3" s="6" t="s">
        <v>37</v>
      </c>
      <c r="E3" s="6" t="s">
        <v>37</v>
      </c>
      <c r="F3" s="6" t="s">
        <v>37</v>
      </c>
      <c r="G3" s="6" t="s">
        <v>37</v>
      </c>
      <c r="H3" s="6" t="s">
        <v>37</v>
      </c>
      <c r="I3" s="27" t="s">
        <v>37</v>
      </c>
    </row>
    <row r="4" spans="1:9" ht="16.2" thickBot="1" x14ac:dyDescent="0.35">
      <c r="A4" s="46"/>
      <c r="B4" s="35" t="s">
        <v>38</v>
      </c>
      <c r="C4" s="6" t="s">
        <v>38</v>
      </c>
      <c r="D4" s="6" t="s">
        <v>38</v>
      </c>
      <c r="E4" s="6" t="s">
        <v>38</v>
      </c>
      <c r="F4" s="6" t="s">
        <v>38</v>
      </c>
      <c r="G4" s="6" t="s">
        <v>38</v>
      </c>
      <c r="H4" s="6" t="s">
        <v>38</v>
      </c>
      <c r="I4" s="27" t="s">
        <v>38</v>
      </c>
    </row>
    <row r="5" spans="1:9" ht="16.2" thickBot="1" x14ac:dyDescent="0.35">
      <c r="A5" s="46"/>
      <c r="B5" s="36"/>
      <c r="C5" s="5" t="s">
        <v>39</v>
      </c>
      <c r="D5" s="5" t="s">
        <v>39</v>
      </c>
      <c r="E5" s="5" t="s">
        <v>39</v>
      </c>
      <c r="F5" s="5" t="s">
        <v>39</v>
      </c>
      <c r="G5" s="5" t="s">
        <v>39</v>
      </c>
      <c r="H5" s="5" t="s">
        <v>39</v>
      </c>
      <c r="I5" s="28" t="s">
        <v>39</v>
      </c>
    </row>
    <row r="6" spans="1:9" ht="16.2" thickBot="1" x14ac:dyDescent="0.35">
      <c r="A6" s="46"/>
      <c r="B6" s="36"/>
      <c r="H6" s="5" t="s">
        <v>40</v>
      </c>
      <c r="I6" s="28" t="s">
        <v>40</v>
      </c>
    </row>
    <row r="7" spans="1:9" ht="16.2" thickBot="1" x14ac:dyDescent="0.35">
      <c r="A7" s="47"/>
      <c r="B7" s="37"/>
      <c r="C7" s="24"/>
      <c r="D7" s="24"/>
      <c r="E7" s="24"/>
      <c r="F7" s="24"/>
      <c r="G7" s="24"/>
      <c r="H7" s="5" t="s">
        <v>41</v>
      </c>
      <c r="I7" s="28" t="s">
        <v>41</v>
      </c>
    </row>
    <row r="8" spans="1:9" x14ac:dyDescent="0.3">
      <c r="A8" s="48" t="s">
        <v>88</v>
      </c>
      <c r="B8" s="38"/>
      <c r="C8" s="29"/>
      <c r="D8" s="29"/>
      <c r="E8" s="51" t="s">
        <v>82</v>
      </c>
      <c r="F8" s="51"/>
      <c r="G8" s="51"/>
      <c r="H8" s="29"/>
      <c r="I8" s="30"/>
    </row>
    <row r="9" spans="1:9" x14ac:dyDescent="0.3">
      <c r="A9" s="49"/>
      <c r="B9" s="36"/>
      <c r="E9" s="52" t="s">
        <v>83</v>
      </c>
      <c r="F9" s="52"/>
      <c r="G9" s="52"/>
      <c r="H9" s="33"/>
      <c r="I9" s="39"/>
    </row>
    <row r="10" spans="1:9" x14ac:dyDescent="0.3">
      <c r="A10" s="49"/>
      <c r="B10" s="36"/>
      <c r="E10" s="53" t="s">
        <v>84</v>
      </c>
      <c r="F10" s="53"/>
      <c r="G10" s="53"/>
      <c r="H10" s="53"/>
      <c r="I10" s="54"/>
    </row>
    <row r="11" spans="1:9" x14ac:dyDescent="0.3">
      <c r="A11" s="49"/>
      <c r="B11" s="36"/>
      <c r="E11" s="53" t="s">
        <v>85</v>
      </c>
      <c r="F11" s="53"/>
      <c r="G11" s="53"/>
      <c r="H11" s="53"/>
      <c r="I11" s="54"/>
    </row>
    <row r="12" spans="1:9" x14ac:dyDescent="0.3">
      <c r="A12" s="49"/>
      <c r="B12" s="36"/>
      <c r="E12" s="53" t="s">
        <v>86</v>
      </c>
      <c r="F12" s="53"/>
      <c r="G12" s="53"/>
      <c r="H12" s="53"/>
      <c r="I12" s="54"/>
    </row>
    <row r="13" spans="1:9" ht="16.2" thickBot="1" x14ac:dyDescent="0.35">
      <c r="A13" s="50"/>
      <c r="B13" s="37"/>
      <c r="C13" s="24"/>
      <c r="D13" s="24"/>
      <c r="E13" s="40" t="s">
        <v>87</v>
      </c>
      <c r="F13" s="40"/>
      <c r="G13" s="40"/>
      <c r="H13" s="40"/>
      <c r="I13" s="41"/>
    </row>
    <row r="14" spans="1:9" ht="16.2" thickBot="1" x14ac:dyDescent="0.35">
      <c r="A14" s="42" t="s">
        <v>89</v>
      </c>
      <c r="B14" s="25" t="s">
        <v>39</v>
      </c>
      <c r="E14" s="29"/>
      <c r="F14" s="29"/>
      <c r="G14" s="29"/>
      <c r="H14" s="29"/>
      <c r="I14" s="30"/>
    </row>
    <row r="15" spans="1:9" ht="16.2" thickBot="1" x14ac:dyDescent="0.35">
      <c r="A15" s="43"/>
      <c r="B15" s="5" t="s">
        <v>40</v>
      </c>
      <c r="C15" s="25" t="s">
        <v>40</v>
      </c>
      <c r="D15" s="25" t="s">
        <v>40</v>
      </c>
      <c r="I15" s="32"/>
    </row>
    <row r="16" spans="1:9" ht="16.2" thickBot="1" x14ac:dyDescent="0.35">
      <c r="A16" s="43"/>
      <c r="B16" s="5" t="s">
        <v>41</v>
      </c>
      <c r="C16" s="5" t="s">
        <v>41</v>
      </c>
      <c r="D16" s="5" t="s">
        <v>41</v>
      </c>
      <c r="I16" s="32"/>
    </row>
    <row r="17" spans="1:9" ht="16.2" thickBot="1" x14ac:dyDescent="0.35">
      <c r="A17" s="43"/>
      <c r="B17" s="5" t="s">
        <v>42</v>
      </c>
      <c r="C17" s="5" t="s">
        <v>42</v>
      </c>
      <c r="D17" s="5" t="s">
        <v>42</v>
      </c>
      <c r="I17" s="32"/>
    </row>
    <row r="18" spans="1:9" ht="16.2" thickBot="1" x14ac:dyDescent="0.35">
      <c r="A18" s="43"/>
      <c r="B18" s="5" t="s">
        <v>43</v>
      </c>
      <c r="C18" s="5" t="s">
        <v>43</v>
      </c>
      <c r="D18" s="5" t="s">
        <v>43</v>
      </c>
      <c r="I18" s="32"/>
    </row>
    <row r="19" spans="1:9" ht="16.2" thickBot="1" x14ac:dyDescent="0.35">
      <c r="A19" s="43"/>
      <c r="B19" s="5" t="s">
        <v>44</v>
      </c>
      <c r="C19" s="5" t="s">
        <v>44</v>
      </c>
      <c r="D19" s="5" t="s">
        <v>44</v>
      </c>
      <c r="I19" s="32"/>
    </row>
    <row r="20" spans="1:9" ht="16.2" thickBot="1" x14ac:dyDescent="0.35">
      <c r="A20" s="44"/>
      <c r="B20" s="5" t="s">
        <v>45</v>
      </c>
      <c r="C20" s="5" t="s">
        <v>45</v>
      </c>
      <c r="D20" s="5" t="s">
        <v>45</v>
      </c>
      <c r="E20" s="24"/>
      <c r="F20" s="24"/>
      <c r="G20" s="24"/>
      <c r="H20" s="24"/>
      <c r="I20" s="31"/>
    </row>
  </sheetData>
  <mergeCells count="9">
    <mergeCell ref="E13:I13"/>
    <mergeCell ref="A14:A20"/>
    <mergeCell ref="A2:A7"/>
    <mergeCell ref="A8:A13"/>
    <mergeCell ref="E8:G8"/>
    <mergeCell ref="E9:G9"/>
    <mergeCell ref="E10:I10"/>
    <mergeCell ref="E11:I11"/>
    <mergeCell ref="E12:I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D5E4D-A493-4BB4-ABB1-836677021EF8}">
  <sheetPr codeName="Feuil6"/>
  <dimension ref="A1:C9"/>
  <sheetViews>
    <sheetView workbookViewId="0">
      <selection activeCell="B2" sqref="B2"/>
    </sheetView>
  </sheetViews>
  <sheetFormatPr baseColWidth="10" defaultColWidth="11.19921875" defaultRowHeight="15.6" x14ac:dyDescent="0.3"/>
  <cols>
    <col min="1" max="1" width="17.8984375" style="2" bestFit="1" customWidth="1"/>
    <col min="2" max="2" width="39.59765625" style="2" bestFit="1" customWidth="1"/>
    <col min="3" max="16384" width="11.19921875" style="2"/>
  </cols>
  <sheetData>
    <row r="1" spans="1:3" ht="16.2" thickBot="1" x14ac:dyDescent="0.35">
      <c r="A1" s="1" t="s">
        <v>46</v>
      </c>
      <c r="B1" s="1" t="s">
        <v>47</v>
      </c>
      <c r="C1" s="1" t="s">
        <v>0</v>
      </c>
    </row>
    <row r="2" spans="1:3" x14ac:dyDescent="0.3">
      <c r="A2" s="3" t="s">
        <v>52</v>
      </c>
      <c r="B2" s="4" t="s">
        <v>48</v>
      </c>
      <c r="C2" s="4" t="s">
        <v>60</v>
      </c>
    </row>
    <row r="3" spans="1:3" x14ac:dyDescent="0.3">
      <c r="A3" s="3" t="s">
        <v>53</v>
      </c>
      <c r="B3" s="4" t="s">
        <v>49</v>
      </c>
      <c r="C3" s="4" t="s">
        <v>61</v>
      </c>
    </row>
    <row r="4" spans="1:3" x14ac:dyDescent="0.3">
      <c r="A4" s="3" t="s">
        <v>54</v>
      </c>
      <c r="B4" s="4" t="s">
        <v>50</v>
      </c>
    </row>
    <row r="5" spans="1:3" x14ac:dyDescent="0.3">
      <c r="A5" s="3" t="s">
        <v>55</v>
      </c>
      <c r="B5" s="4" t="s">
        <v>51</v>
      </c>
    </row>
    <row r="6" spans="1:3" x14ac:dyDescent="0.3">
      <c r="A6" s="3" t="s">
        <v>56</v>
      </c>
      <c r="B6" s="3"/>
    </row>
    <row r="7" spans="1:3" x14ac:dyDescent="0.3">
      <c r="A7" s="3" t="s">
        <v>59</v>
      </c>
      <c r="B7" s="3"/>
    </row>
    <row r="8" spans="1:3" x14ac:dyDescent="0.3">
      <c r="A8" s="3" t="s">
        <v>57</v>
      </c>
      <c r="B8" s="3"/>
    </row>
    <row r="9" spans="1:3" x14ac:dyDescent="0.3">
      <c r="A9" s="3" t="s">
        <v>58</v>
      </c>
      <c r="B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82BA-EEA0-47D8-998A-8A2EE5D77FA3}">
  <sheetPr codeName="Feuil4">
    <tabColor rgb="FF00B050"/>
  </sheetPr>
  <dimension ref="A1:A16"/>
  <sheetViews>
    <sheetView zoomScale="122" workbookViewId="0">
      <selection activeCell="A2" sqref="A2:A16"/>
    </sheetView>
  </sheetViews>
  <sheetFormatPr baseColWidth="10" defaultColWidth="11.19921875" defaultRowHeight="15.6" x14ac:dyDescent="0.3"/>
  <cols>
    <col min="1" max="1" width="44.5" style="3" bestFit="1" customWidth="1"/>
    <col min="2" max="16384" width="11.19921875" style="3"/>
  </cols>
  <sheetData>
    <row r="1" spans="1:1" ht="35.4" customHeight="1" thickBot="1" x14ac:dyDescent="0.35">
      <c r="A1" s="11" t="s">
        <v>80</v>
      </c>
    </row>
    <row r="2" spans="1:1" x14ac:dyDescent="0.3">
      <c r="A2" s="13" t="s">
        <v>1</v>
      </c>
    </row>
    <row r="3" spans="1:1" x14ac:dyDescent="0.3">
      <c r="A3" s="13" t="s">
        <v>3</v>
      </c>
    </row>
    <row r="4" spans="1:1" x14ac:dyDescent="0.3">
      <c r="A4" s="13" t="s">
        <v>5</v>
      </c>
    </row>
    <row r="5" spans="1:1" x14ac:dyDescent="0.3">
      <c r="A5" s="13" t="s">
        <v>7</v>
      </c>
    </row>
    <row r="6" spans="1:1" x14ac:dyDescent="0.3">
      <c r="A6" s="13" t="s">
        <v>8</v>
      </c>
    </row>
    <row r="7" spans="1:1" x14ac:dyDescent="0.3">
      <c r="A7" s="13" t="s">
        <v>9</v>
      </c>
    </row>
    <row r="8" spans="1:1" x14ac:dyDescent="0.3">
      <c r="A8" s="13" t="s">
        <v>10</v>
      </c>
    </row>
    <row r="9" spans="1:1" x14ac:dyDescent="0.3">
      <c r="A9" s="13" t="s">
        <v>11</v>
      </c>
    </row>
    <row r="10" spans="1:1" x14ac:dyDescent="0.3">
      <c r="A10" s="13" t="s">
        <v>35</v>
      </c>
    </row>
    <row r="11" spans="1:1" x14ac:dyDescent="0.3">
      <c r="A11" s="13" t="s">
        <v>13</v>
      </c>
    </row>
    <row r="12" spans="1:1" x14ac:dyDescent="0.3">
      <c r="A12" s="13" t="s">
        <v>16</v>
      </c>
    </row>
    <row r="13" spans="1:1" x14ac:dyDescent="0.3">
      <c r="A13" s="13" t="s">
        <v>20</v>
      </c>
    </row>
    <row r="14" spans="1:1" x14ac:dyDescent="0.3">
      <c r="A14" s="13" t="s">
        <v>22</v>
      </c>
    </row>
    <row r="15" spans="1:1" x14ac:dyDescent="0.3">
      <c r="A15" s="13" t="s">
        <v>25</v>
      </c>
    </row>
    <row r="16" spans="1:1" x14ac:dyDescent="0.3">
      <c r="A16" s="13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EF4EA-3E04-4437-973C-A2F2BA441DA4}">
  <sheetPr codeName="Feuil2">
    <tabColor rgb="FF00B050"/>
  </sheetPr>
  <dimension ref="A1:C21"/>
  <sheetViews>
    <sheetView zoomScale="73" workbookViewId="0">
      <selection activeCell="B2" sqref="B2"/>
    </sheetView>
  </sheetViews>
  <sheetFormatPr baseColWidth="10" defaultColWidth="11.19921875" defaultRowHeight="15.6" x14ac:dyDescent="0.3"/>
  <cols>
    <col min="1" max="1" width="44.5" style="3" bestFit="1" customWidth="1"/>
    <col min="2" max="2" width="36.3984375" style="3" bestFit="1" customWidth="1"/>
    <col min="3" max="3" width="11.19921875" style="3"/>
    <col min="4" max="4" width="33.8984375" style="3" bestFit="1" customWidth="1"/>
    <col min="5" max="16384" width="11.19921875" style="3"/>
  </cols>
  <sheetData>
    <row r="1" spans="1:3" ht="40.950000000000003" customHeight="1" thickBot="1" x14ac:dyDescent="0.35">
      <c r="A1" s="11" t="s">
        <v>80</v>
      </c>
      <c r="B1" s="11" t="s">
        <v>79</v>
      </c>
      <c r="C1" s="10" t="s">
        <v>30</v>
      </c>
    </row>
    <row r="2" spans="1:3" ht="16.2" thickBot="1" x14ac:dyDescent="0.35">
      <c r="A2" s="15" t="s">
        <v>1</v>
      </c>
      <c r="B2" s="17" t="s">
        <v>2</v>
      </c>
      <c r="C2" s="10" t="str">
        <f>SUBSTITUTE(SUBSTITUTE(RIGHT(A2,LEN(A2)-LEN("Etablissement "))," ","_"),"-","_")</f>
        <v>Exploitations_Littoral</v>
      </c>
    </row>
    <row r="3" spans="1:3" ht="16.2" thickBot="1" x14ac:dyDescent="0.35">
      <c r="A3" s="18" t="s">
        <v>3</v>
      </c>
      <c r="B3" s="19" t="s">
        <v>4</v>
      </c>
      <c r="C3" s="10" t="str">
        <f t="shared" ref="C3:C21" si="0">SUBSTITUTE(SUBSTITUTE(RIGHT(A3,LEN(A3)-LEN("Etablissement "))," ","_"),"-","_")</f>
        <v>Exploitations_Ogooué_Ivindo</v>
      </c>
    </row>
    <row r="4" spans="1:3" ht="16.2" thickBot="1" x14ac:dyDescent="0.35">
      <c r="A4" s="15" t="s">
        <v>5</v>
      </c>
      <c r="B4" s="17" t="s">
        <v>6</v>
      </c>
      <c r="C4" s="10" t="str">
        <f t="shared" si="0"/>
        <v>Exploitations_Woleu_Ntem</v>
      </c>
    </row>
    <row r="5" spans="1:3" ht="16.2" thickBot="1" x14ac:dyDescent="0.35">
      <c r="A5" s="18" t="s">
        <v>7</v>
      </c>
      <c r="B5" s="19" t="s">
        <v>6</v>
      </c>
      <c r="C5" s="10" t="str">
        <f t="shared" si="0"/>
        <v>Exploitations_Moyen_Ogooué</v>
      </c>
    </row>
    <row r="6" spans="1:3" ht="16.2" thickBot="1" x14ac:dyDescent="0.35">
      <c r="A6" s="15" t="s">
        <v>8</v>
      </c>
      <c r="B6" s="17" t="s">
        <v>6</v>
      </c>
      <c r="C6" s="10" t="str">
        <f t="shared" si="0"/>
        <v>Exploitations_Ngounié</v>
      </c>
    </row>
    <row r="7" spans="1:3" ht="16.2" thickBot="1" x14ac:dyDescent="0.35">
      <c r="A7" s="18" t="s">
        <v>9</v>
      </c>
      <c r="B7" s="19" t="s">
        <v>6</v>
      </c>
      <c r="C7" s="10" t="str">
        <f t="shared" si="0"/>
        <v>Exploitations_Nyanga_et_Excentrées</v>
      </c>
    </row>
    <row r="8" spans="1:3" ht="16.2" thickBot="1" x14ac:dyDescent="0.35">
      <c r="A8" s="15" t="s">
        <v>10</v>
      </c>
      <c r="B8" s="17" t="s">
        <v>6</v>
      </c>
      <c r="C8" s="10" t="str">
        <f t="shared" si="0"/>
        <v>Exploitations_Franceville_et_Excentrées</v>
      </c>
    </row>
    <row r="9" spans="1:3" ht="16.2" thickBot="1" x14ac:dyDescent="0.35">
      <c r="A9" s="18" t="s">
        <v>11</v>
      </c>
      <c r="B9" s="19" t="s">
        <v>6</v>
      </c>
      <c r="C9" s="10" t="str">
        <f t="shared" si="0"/>
        <v>Exploitations_Moanda_et_Ogooué_Lolo</v>
      </c>
    </row>
    <row r="10" spans="1:3" ht="16.2" thickBot="1" x14ac:dyDescent="0.35">
      <c r="A10" s="15" t="s">
        <v>35</v>
      </c>
      <c r="B10" s="17" t="s">
        <v>12</v>
      </c>
      <c r="C10" s="10" t="str">
        <f t="shared" si="0"/>
        <v>Exploitations_Ntoum_et_Vallée_Mbê</v>
      </c>
    </row>
    <row r="11" spans="1:3" x14ac:dyDescent="0.3">
      <c r="A11" s="13" t="s">
        <v>13</v>
      </c>
      <c r="B11" s="13" t="s">
        <v>14</v>
      </c>
      <c r="C11" s="10" t="str">
        <f t="shared" si="0"/>
        <v>Exploitations_Owendo___Damas</v>
      </c>
    </row>
    <row r="12" spans="1:3" ht="16.2" thickBot="1" x14ac:dyDescent="0.35">
      <c r="A12" s="18" t="s">
        <v>13</v>
      </c>
      <c r="B12" s="19" t="s">
        <v>15</v>
      </c>
      <c r="C12" s="10" t="str">
        <f t="shared" si="0"/>
        <v>Exploitations_Owendo___Damas</v>
      </c>
    </row>
    <row r="13" spans="1:3" x14ac:dyDescent="0.3">
      <c r="A13" s="12" t="s">
        <v>16</v>
      </c>
      <c r="B13" s="16" t="s">
        <v>17</v>
      </c>
      <c r="C13" s="10" t="str">
        <f t="shared" si="0"/>
        <v>Nouveau_Siège</v>
      </c>
    </row>
    <row r="14" spans="1:3" x14ac:dyDescent="0.3">
      <c r="A14" s="12" t="s">
        <v>16</v>
      </c>
      <c r="B14" s="16" t="s">
        <v>18</v>
      </c>
      <c r="C14" s="10" t="str">
        <f t="shared" si="0"/>
        <v>Nouveau_Siège</v>
      </c>
    </row>
    <row r="15" spans="1:3" ht="16.2" thickBot="1" x14ac:dyDescent="0.35">
      <c r="A15" s="15" t="s">
        <v>16</v>
      </c>
      <c r="B15" s="17" t="s">
        <v>19</v>
      </c>
      <c r="C15" s="10" t="str">
        <f t="shared" si="0"/>
        <v>Nouveau_Siège</v>
      </c>
    </row>
    <row r="16" spans="1:3" ht="16.2" thickBot="1" x14ac:dyDescent="0.35">
      <c r="A16" s="18" t="s">
        <v>20</v>
      </c>
      <c r="B16" s="19" t="s">
        <v>21</v>
      </c>
      <c r="C16" s="10" t="str">
        <f t="shared" si="0"/>
        <v>Ancien_Siège___Serena_Mall</v>
      </c>
    </row>
    <row r="17" spans="1:3" x14ac:dyDescent="0.3">
      <c r="A17" s="12" t="s">
        <v>22</v>
      </c>
      <c r="B17" s="16" t="s">
        <v>23</v>
      </c>
      <c r="C17" s="10" t="str">
        <f t="shared" si="0"/>
        <v>Base_Technique</v>
      </c>
    </row>
    <row r="18" spans="1:3" ht="16.2" thickBot="1" x14ac:dyDescent="0.35">
      <c r="A18" s="15" t="s">
        <v>22</v>
      </c>
      <c r="B18" s="17" t="s">
        <v>24</v>
      </c>
      <c r="C18" s="10" t="str">
        <f t="shared" si="0"/>
        <v>Base_Technique</v>
      </c>
    </row>
    <row r="19" spans="1:3" x14ac:dyDescent="0.3">
      <c r="A19" s="13" t="s">
        <v>25</v>
      </c>
      <c r="B19" s="13" t="s">
        <v>26</v>
      </c>
      <c r="C19" s="10" t="str">
        <f t="shared" si="0"/>
        <v>Peyrie</v>
      </c>
    </row>
    <row r="20" spans="1:3" ht="16.2" thickBot="1" x14ac:dyDescent="0.35">
      <c r="A20" s="18" t="s">
        <v>25</v>
      </c>
      <c r="B20" s="19" t="s">
        <v>27</v>
      </c>
      <c r="C20" s="10" t="str">
        <f t="shared" si="0"/>
        <v>Peyrie</v>
      </c>
    </row>
    <row r="21" spans="1:3" ht="16.2" thickBot="1" x14ac:dyDescent="0.35">
      <c r="A21" s="22" t="s">
        <v>28</v>
      </c>
      <c r="B21" s="23" t="s">
        <v>29</v>
      </c>
      <c r="C21" s="10" t="str">
        <f t="shared" si="0"/>
        <v>Exploitations_Nord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D715D-EE30-4246-A35B-946350F88132}">
  <sheetPr codeName="Feuil3">
    <tabColor rgb="FF00B050"/>
  </sheetPr>
  <dimension ref="A1:C38"/>
  <sheetViews>
    <sheetView zoomScale="102" workbookViewId="0">
      <selection activeCell="B6" sqref="B6"/>
    </sheetView>
  </sheetViews>
  <sheetFormatPr baseColWidth="10" defaultColWidth="11.19921875" defaultRowHeight="15.6" x14ac:dyDescent="0.3"/>
  <cols>
    <col min="1" max="1" width="44.5" style="3" bestFit="1" customWidth="1"/>
    <col min="2" max="2" width="21.8984375" style="3" customWidth="1"/>
    <col min="3" max="16384" width="11.19921875" style="3"/>
  </cols>
  <sheetData>
    <row r="1" spans="1:3" ht="36.6" customHeight="1" thickBot="1" x14ac:dyDescent="0.35">
      <c r="A1" s="11" t="s">
        <v>80</v>
      </c>
      <c r="B1" s="11" t="s">
        <v>81</v>
      </c>
      <c r="C1" s="10" t="s">
        <v>30</v>
      </c>
    </row>
    <row r="2" spans="1:3" x14ac:dyDescent="0.3">
      <c r="A2" s="12" t="s">
        <v>1</v>
      </c>
      <c r="B2" s="16" t="s">
        <v>31</v>
      </c>
      <c r="C2" s="10" t="str">
        <f>_xlfn.CONCAT(SUBSTITUTE(SUBSTITUTE(RIGHT(A2,LEN(A2)-LEN("Etablissement "))," ","_"),"-","_"),"_2")</f>
        <v>Exploitations_Littoral_2</v>
      </c>
    </row>
    <row r="3" spans="1:3" ht="16.2" thickBot="1" x14ac:dyDescent="0.35">
      <c r="A3" s="15" t="s">
        <v>1</v>
      </c>
      <c r="B3" s="17" t="s">
        <v>32</v>
      </c>
      <c r="C3" s="10" t="str">
        <f t="shared" ref="C3:C38" si="0">_xlfn.CONCAT(SUBSTITUTE(SUBSTITUTE(RIGHT(A3,LEN(A3)-LEN("Etablissement "))," ","_"),"-","_"),"_2")</f>
        <v>Exploitations_Littoral_2</v>
      </c>
    </row>
    <row r="4" spans="1:3" x14ac:dyDescent="0.3">
      <c r="A4" s="13" t="s">
        <v>3</v>
      </c>
      <c r="B4" s="14" t="s">
        <v>31</v>
      </c>
      <c r="C4" s="10" t="str">
        <f t="shared" si="0"/>
        <v>Exploitations_Ogooué_Ivindo_2</v>
      </c>
    </row>
    <row r="5" spans="1:3" ht="16.2" thickBot="1" x14ac:dyDescent="0.35">
      <c r="A5" s="18" t="s">
        <v>3</v>
      </c>
      <c r="B5" s="19" t="s">
        <v>32</v>
      </c>
      <c r="C5" s="10" t="str">
        <f t="shared" si="0"/>
        <v>Exploitations_Ogooué_Ivindo_2</v>
      </c>
    </row>
    <row r="6" spans="1:3" x14ac:dyDescent="0.3">
      <c r="A6" s="12" t="s">
        <v>5</v>
      </c>
      <c r="B6" s="16" t="s">
        <v>33</v>
      </c>
      <c r="C6" s="10" t="str">
        <f t="shared" si="0"/>
        <v>Exploitations_Woleu_Ntem_2</v>
      </c>
    </row>
    <row r="7" spans="1:3" x14ac:dyDescent="0.3">
      <c r="A7" s="12" t="s">
        <v>5</v>
      </c>
      <c r="B7" s="16" t="s">
        <v>34</v>
      </c>
      <c r="C7" s="10" t="str">
        <f t="shared" si="0"/>
        <v>Exploitations_Woleu_Ntem_2</v>
      </c>
    </row>
    <row r="8" spans="1:3" ht="16.2" thickBot="1" x14ac:dyDescent="0.35">
      <c r="A8" s="15" t="s">
        <v>5</v>
      </c>
      <c r="B8" s="17" t="s">
        <v>32</v>
      </c>
      <c r="C8" s="10" t="str">
        <f t="shared" si="0"/>
        <v>Exploitations_Woleu_Ntem_2</v>
      </c>
    </row>
    <row r="9" spans="1:3" x14ac:dyDescent="0.3">
      <c r="A9" s="13" t="s">
        <v>7</v>
      </c>
      <c r="B9" s="13" t="s">
        <v>31</v>
      </c>
      <c r="C9" s="10" t="str">
        <f t="shared" si="0"/>
        <v>Exploitations_Moyen_Ogooué_2</v>
      </c>
    </row>
    <row r="10" spans="1:3" ht="16.2" thickBot="1" x14ac:dyDescent="0.35">
      <c r="A10" s="18" t="s">
        <v>7</v>
      </c>
      <c r="B10" s="19" t="s">
        <v>32</v>
      </c>
      <c r="C10" s="10" t="str">
        <f t="shared" si="0"/>
        <v>Exploitations_Moyen_Ogooué_2</v>
      </c>
    </row>
    <row r="11" spans="1:3" x14ac:dyDescent="0.3">
      <c r="A11" s="12" t="s">
        <v>8</v>
      </c>
      <c r="B11" s="16" t="s">
        <v>33</v>
      </c>
      <c r="C11" s="10" t="str">
        <f t="shared" si="0"/>
        <v>Exploitations_Ngounié_2</v>
      </c>
    </row>
    <row r="12" spans="1:3" x14ac:dyDescent="0.3">
      <c r="A12" s="12" t="s">
        <v>8</v>
      </c>
      <c r="B12" s="16" t="s">
        <v>34</v>
      </c>
      <c r="C12" s="10" t="str">
        <f t="shared" si="0"/>
        <v>Exploitations_Ngounié_2</v>
      </c>
    </row>
    <row r="13" spans="1:3" ht="16.2" thickBot="1" x14ac:dyDescent="0.35">
      <c r="A13" s="15" t="s">
        <v>8</v>
      </c>
      <c r="B13" s="17" t="s">
        <v>32</v>
      </c>
      <c r="C13" s="10" t="str">
        <f t="shared" si="0"/>
        <v>Exploitations_Ngounié_2</v>
      </c>
    </row>
    <row r="14" spans="1:3" x14ac:dyDescent="0.3">
      <c r="A14" s="13" t="s">
        <v>9</v>
      </c>
      <c r="B14" s="13" t="s">
        <v>31</v>
      </c>
      <c r="C14" s="10" t="str">
        <f t="shared" si="0"/>
        <v>Exploitations_Nyanga_et_Excentrées_2</v>
      </c>
    </row>
    <row r="15" spans="1:3" ht="16.2" thickBot="1" x14ac:dyDescent="0.35">
      <c r="A15" s="18" t="s">
        <v>9</v>
      </c>
      <c r="B15" s="19" t="s">
        <v>32</v>
      </c>
      <c r="C15" s="10" t="str">
        <f t="shared" si="0"/>
        <v>Exploitations_Nyanga_et_Excentrées_2</v>
      </c>
    </row>
    <row r="16" spans="1:3" x14ac:dyDescent="0.3">
      <c r="A16" s="12" t="s">
        <v>10</v>
      </c>
      <c r="B16" s="16" t="s">
        <v>33</v>
      </c>
      <c r="C16" s="10" t="str">
        <f t="shared" si="0"/>
        <v>Exploitations_Franceville_et_Excentrées_2</v>
      </c>
    </row>
    <row r="17" spans="1:3" x14ac:dyDescent="0.3">
      <c r="A17" s="12" t="s">
        <v>10</v>
      </c>
      <c r="B17" s="16" t="s">
        <v>34</v>
      </c>
      <c r="C17" s="10" t="str">
        <f t="shared" si="0"/>
        <v>Exploitations_Franceville_et_Excentrées_2</v>
      </c>
    </row>
    <row r="18" spans="1:3" ht="16.2" thickBot="1" x14ac:dyDescent="0.35">
      <c r="A18" s="15" t="s">
        <v>10</v>
      </c>
      <c r="B18" s="17" t="s">
        <v>32</v>
      </c>
      <c r="C18" s="10" t="str">
        <f t="shared" si="0"/>
        <v>Exploitations_Franceville_et_Excentrées_2</v>
      </c>
    </row>
    <row r="19" spans="1:3" x14ac:dyDescent="0.3">
      <c r="A19" s="13" t="s">
        <v>11</v>
      </c>
      <c r="B19" s="13" t="s">
        <v>31</v>
      </c>
      <c r="C19" s="10" t="str">
        <f t="shared" si="0"/>
        <v>Exploitations_Moanda_et_Ogooué_Lolo_2</v>
      </c>
    </row>
    <row r="20" spans="1:3" ht="16.2" thickBot="1" x14ac:dyDescent="0.35">
      <c r="A20" s="18" t="s">
        <v>11</v>
      </c>
      <c r="B20" s="19" t="s">
        <v>32</v>
      </c>
      <c r="C20" s="10" t="str">
        <f t="shared" si="0"/>
        <v>Exploitations_Moanda_et_Ogooué_Lolo_2</v>
      </c>
    </row>
    <row r="21" spans="1:3" x14ac:dyDescent="0.3">
      <c r="A21" s="12" t="s">
        <v>35</v>
      </c>
      <c r="B21" s="16" t="s">
        <v>33</v>
      </c>
      <c r="C21" s="10" t="str">
        <f t="shared" si="0"/>
        <v>Exploitations_Ntoum_et_Vallée_Mbê_2</v>
      </c>
    </row>
    <row r="22" spans="1:3" x14ac:dyDescent="0.3">
      <c r="A22" s="12" t="s">
        <v>35</v>
      </c>
      <c r="B22" s="16" t="s">
        <v>34</v>
      </c>
      <c r="C22" s="10" t="str">
        <f t="shared" si="0"/>
        <v>Exploitations_Ntoum_et_Vallée_Mbê_2</v>
      </c>
    </row>
    <row r="23" spans="1:3" ht="16.2" thickBot="1" x14ac:dyDescent="0.35">
      <c r="A23" s="15" t="s">
        <v>35</v>
      </c>
      <c r="B23" s="17" t="s">
        <v>32</v>
      </c>
      <c r="C23" s="10" t="str">
        <f t="shared" si="0"/>
        <v>Exploitations_Ntoum_et_Vallée_Mbê_2</v>
      </c>
    </row>
    <row r="24" spans="1:3" x14ac:dyDescent="0.3">
      <c r="A24" s="13" t="s">
        <v>13</v>
      </c>
      <c r="B24" s="13" t="s">
        <v>31</v>
      </c>
      <c r="C24" s="10" t="str">
        <f t="shared" si="0"/>
        <v>Exploitations_Owendo___Damas_2</v>
      </c>
    </row>
    <row r="25" spans="1:3" ht="16.2" thickBot="1" x14ac:dyDescent="0.35">
      <c r="A25" s="18" t="s">
        <v>13</v>
      </c>
      <c r="B25" s="19" t="s">
        <v>32</v>
      </c>
      <c r="C25" s="10" t="str">
        <f t="shared" si="0"/>
        <v>Exploitations_Owendo___Damas_2</v>
      </c>
    </row>
    <row r="26" spans="1:3" x14ac:dyDescent="0.3">
      <c r="A26" s="12" t="s">
        <v>16</v>
      </c>
      <c r="B26" s="16" t="s">
        <v>33</v>
      </c>
      <c r="C26" s="10" t="str">
        <f t="shared" si="0"/>
        <v>Nouveau_Siège_2</v>
      </c>
    </row>
    <row r="27" spans="1:3" x14ac:dyDescent="0.3">
      <c r="A27" s="12" t="s">
        <v>16</v>
      </c>
      <c r="B27" s="16" t="s">
        <v>34</v>
      </c>
      <c r="C27" s="10" t="str">
        <f t="shared" si="0"/>
        <v>Nouveau_Siège_2</v>
      </c>
    </row>
    <row r="28" spans="1:3" ht="16.2" thickBot="1" x14ac:dyDescent="0.35">
      <c r="A28" s="15" t="s">
        <v>16</v>
      </c>
      <c r="B28" s="17" t="s">
        <v>32</v>
      </c>
      <c r="C28" s="10" t="str">
        <f t="shared" si="0"/>
        <v>Nouveau_Siège_2</v>
      </c>
    </row>
    <row r="29" spans="1:3" x14ac:dyDescent="0.3">
      <c r="A29" s="13" t="s">
        <v>20</v>
      </c>
      <c r="B29" s="13" t="s">
        <v>33</v>
      </c>
      <c r="C29" s="10" t="str">
        <f t="shared" si="0"/>
        <v>Ancien_Siège___Serena_Mall_2</v>
      </c>
    </row>
    <row r="30" spans="1:3" x14ac:dyDescent="0.3">
      <c r="A30" s="13" t="s">
        <v>20</v>
      </c>
      <c r="B30" s="13" t="s">
        <v>34</v>
      </c>
      <c r="C30" s="10" t="str">
        <f t="shared" si="0"/>
        <v>Ancien_Siège___Serena_Mall_2</v>
      </c>
    </row>
    <row r="31" spans="1:3" ht="16.2" thickBot="1" x14ac:dyDescent="0.35">
      <c r="A31" s="18" t="s">
        <v>20</v>
      </c>
      <c r="B31" s="19" t="s">
        <v>32</v>
      </c>
      <c r="C31" s="10" t="str">
        <f t="shared" si="0"/>
        <v>Ancien_Siège___Serena_Mall_2</v>
      </c>
    </row>
    <row r="32" spans="1:3" x14ac:dyDescent="0.3">
      <c r="A32" s="12" t="s">
        <v>22</v>
      </c>
      <c r="B32" s="16" t="s">
        <v>33</v>
      </c>
      <c r="C32" s="10" t="str">
        <f t="shared" si="0"/>
        <v>Base_Technique_2</v>
      </c>
    </row>
    <row r="33" spans="1:3" x14ac:dyDescent="0.3">
      <c r="A33" s="12" t="s">
        <v>22</v>
      </c>
      <c r="B33" s="16" t="s">
        <v>34</v>
      </c>
      <c r="C33" s="10" t="str">
        <f t="shared" si="0"/>
        <v>Base_Technique_2</v>
      </c>
    </row>
    <row r="34" spans="1:3" ht="16.2" thickBot="1" x14ac:dyDescent="0.35">
      <c r="A34" s="15" t="s">
        <v>22</v>
      </c>
      <c r="B34" s="17" t="s">
        <v>32</v>
      </c>
      <c r="C34" s="10" t="str">
        <f t="shared" si="0"/>
        <v>Base_Technique_2</v>
      </c>
    </row>
    <row r="35" spans="1:3" x14ac:dyDescent="0.3">
      <c r="A35" s="13" t="s">
        <v>25</v>
      </c>
      <c r="B35" s="13" t="s">
        <v>31</v>
      </c>
      <c r="C35" s="10" t="str">
        <f t="shared" si="0"/>
        <v>Peyrie_2</v>
      </c>
    </row>
    <row r="36" spans="1:3" ht="16.2" thickBot="1" x14ac:dyDescent="0.35">
      <c r="A36" s="18" t="s">
        <v>25</v>
      </c>
      <c r="B36" s="19" t="s">
        <v>32</v>
      </c>
      <c r="C36" s="10" t="str">
        <f t="shared" si="0"/>
        <v>Peyrie_2</v>
      </c>
    </row>
    <row r="37" spans="1:3" x14ac:dyDescent="0.3">
      <c r="A37" s="12" t="s">
        <v>28</v>
      </c>
      <c r="B37" s="16" t="s">
        <v>31</v>
      </c>
      <c r="C37" s="10" t="str">
        <f t="shared" si="0"/>
        <v>Exploitations_Nord_2</v>
      </c>
    </row>
    <row r="38" spans="1:3" ht="16.2" thickBot="1" x14ac:dyDescent="0.35">
      <c r="A38" s="20" t="s">
        <v>28</v>
      </c>
      <c r="B38" s="21" t="s">
        <v>32</v>
      </c>
      <c r="C38" s="10" t="str">
        <f t="shared" si="0"/>
        <v>Exploitations_Nord_2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30</vt:i4>
      </vt:variant>
    </vt:vector>
  </HeadingPairs>
  <TitlesOfParts>
    <vt:vector size="36" baseType="lpstr">
      <vt:lpstr>saisie</vt:lpstr>
      <vt:lpstr>renseignements</vt:lpstr>
      <vt:lpstr>parametres</vt:lpstr>
      <vt:lpstr>Etablissements</vt:lpstr>
      <vt:lpstr>Bureaux</vt:lpstr>
      <vt:lpstr>Colleges</vt:lpstr>
      <vt:lpstr>Ancien_Siège___Serena_Mall</vt:lpstr>
      <vt:lpstr>Ancien_Siège___Serena_Mall_2</vt:lpstr>
      <vt:lpstr>Base_Technique</vt:lpstr>
      <vt:lpstr>Base_Technique_2</vt:lpstr>
      <vt:lpstr>Exploitations_Franceville_et_Excentrées</vt:lpstr>
      <vt:lpstr>Exploitations_Franceville_et_Excentrées_2</vt:lpstr>
      <vt:lpstr>Exploitations_Littoral</vt:lpstr>
      <vt:lpstr>Exploitations_Littoral_2</vt:lpstr>
      <vt:lpstr>Exploitations_Moanda_et_Ogooué_Lolo</vt:lpstr>
      <vt:lpstr>Exploitations_Moanda_et_Ogooué_Lolo_2</vt:lpstr>
      <vt:lpstr>Exploitations_Moyen_Ogooué</vt:lpstr>
      <vt:lpstr>Exploitations_Moyen_Ogooué_2</vt:lpstr>
      <vt:lpstr>Exploitations_Ngounié</vt:lpstr>
      <vt:lpstr>Exploitations_Ngounié_2</vt:lpstr>
      <vt:lpstr>Exploitations_Nord</vt:lpstr>
      <vt:lpstr>Exploitations_Nord_2</vt:lpstr>
      <vt:lpstr>Exploitations_Ntoum_et_Vallée_Mbê</vt:lpstr>
      <vt:lpstr>Exploitations_Ntoum_et_Vallée_Mbê_2</vt:lpstr>
      <vt:lpstr>Exploitations_Nyanga_et_Excentrées</vt:lpstr>
      <vt:lpstr>Exploitations_Nyanga_et_Excentrées_2</vt:lpstr>
      <vt:lpstr>Exploitations_Ogooué_Ivindo</vt:lpstr>
      <vt:lpstr>Exploitations_Ogooué_Ivindo_2</vt:lpstr>
      <vt:lpstr>Exploitations_Owendo___Damas</vt:lpstr>
      <vt:lpstr>Exploitations_Owendo___Damas_2</vt:lpstr>
      <vt:lpstr>Exploitations_Woleu_Ntem</vt:lpstr>
      <vt:lpstr>Exploitations_Woleu_Ntem_2</vt:lpstr>
      <vt:lpstr>Nouveau_Siège</vt:lpstr>
      <vt:lpstr>Nouveau_Siège_2</vt:lpstr>
      <vt:lpstr>Peyrie</vt:lpstr>
      <vt:lpstr>Peyrie_2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Melchise Dek Khalil Anwar Ngoua</dc:creator>
  <cp:lastModifiedBy>Jessy Mac</cp:lastModifiedBy>
  <dcterms:created xsi:type="dcterms:W3CDTF">2026-06-02T12:45:19Z</dcterms:created>
  <dcterms:modified xsi:type="dcterms:W3CDTF">2026-06-02T16:21:06Z</dcterms:modified>
</cp:coreProperties>
</file>