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a5cdb37f8cded9e/CAMPS^M/A/Emploi/CNX 4.0/CNX/Clients/SEEG/Elections professionnelles/Modèles importation/"/>
    </mc:Choice>
  </mc:AlternateContent>
  <xr:revisionPtr revIDLastSave="168" documentId="8_{E9E72F9F-C907-4A13-B198-B6864AD9C110}" xr6:coauthVersionLast="47" xr6:coauthVersionMax="47" xr10:uidLastSave="{DB036FA7-9EC6-49A1-9C06-3A3834E58FFB}"/>
  <bookViews>
    <workbookView xWindow="-108" yWindow="-108" windowWidth="23256" windowHeight="12456" xr2:uid="{8115DE5C-A546-412F-831A-789A01F4CAEC}"/>
  </bookViews>
  <sheets>
    <sheet name="saisie" sheetId="1" r:id="rId1"/>
    <sheet name="Etablissements" sheetId="4" state="veryHidden" r:id="rId2"/>
    <sheet name="Bureaux" sheetId="2" state="veryHidden" r:id="rId3"/>
    <sheet name="Colleges" sheetId="3" state="veryHidden" r:id="rId4"/>
  </sheets>
  <definedNames>
    <definedName name="Ancien_Siège___Serena_Mall">Bureaux!$B$16</definedName>
    <definedName name="Ancien_Siège___Serena_Mall_2">Colleges!$B$29:$B$31</definedName>
    <definedName name="Base_Technique">Bureaux!$B$17:$B$18</definedName>
    <definedName name="Base_Technique_2">Colleges!$B$32:$B$34</definedName>
    <definedName name="Exploitations_Franceville_et_Excentrées">Bureaux!$B$8</definedName>
    <definedName name="Exploitations_Franceville_et_Excentrées_2">Colleges!$B$16:$B$18</definedName>
    <definedName name="Exploitations_Littoral">Bureaux!$B$2</definedName>
    <definedName name="Exploitations_Littoral_2">Colleges!$B$2:$B$3</definedName>
    <definedName name="Exploitations_Moanda_et_Ogooué_Lolo">Bureaux!$B$9</definedName>
    <definedName name="Exploitations_Moanda_et_Ogooué_Lolo_2">Colleges!$B$19:$B$20</definedName>
    <definedName name="Exploitations_Moyen_Ogooué">Bureaux!$B$5</definedName>
    <definedName name="Exploitations_Moyen_Ogooué_2">Colleges!$B$9:$B$10</definedName>
    <definedName name="Exploitations_Ngounié">Bureaux!$B$6</definedName>
    <definedName name="Exploitations_Ngounié_2">Colleges!$B$11:$B$13</definedName>
    <definedName name="Exploitations_Nord">Bureaux!$B$21</definedName>
    <definedName name="Exploitations_Nord_2">Colleges!$B$37:$B$38</definedName>
    <definedName name="Exploitations_Ntoum_et_Vallée_Mbê">Bureaux!$B$10</definedName>
    <definedName name="Exploitations_Ntoum_et_Vallée_Mbê_2">Colleges!$B$21:$B$23</definedName>
    <definedName name="Exploitations_Nyanga_et_Excentrées">Bureaux!$B$7</definedName>
    <definedName name="Exploitations_Nyanga_et_Excentrées_2">Colleges!$B$14:$B$15</definedName>
    <definedName name="Exploitations_Ogooué_Ivindo">Bureaux!$B$3</definedName>
    <definedName name="Exploitations_Ogooué_Ivindo_2">Colleges!$B$4:$B$5</definedName>
    <definedName name="Exploitations_Owendo___Damas">Bureaux!$B$11:$B$12</definedName>
    <definedName name="Exploitations_Owendo___Damas_2">Colleges!$B$24:$B$25</definedName>
    <definedName name="Exploitations_Woleu_Ntem">Bureaux!$B$4</definedName>
    <definedName name="Exploitations_Woleu_Ntem_2">Colleges!$B$6:$B$8</definedName>
    <definedName name="Nouveau_Siège">Bureaux!$B$13:$B$15</definedName>
    <definedName name="Nouveau_Siège_2">Colleges!$B$26:$B$28</definedName>
    <definedName name="Peyrie">Bureaux!$B$19:$B$20</definedName>
    <definedName name="Peyrie_2">Colleges!$B$35:$B$36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C3" i="3" l="1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2" i="3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" i="2"/>
</calcChain>
</file>

<file path=xl/sharedStrings.xml><?xml version="1.0" encoding="utf-8"?>
<sst xmlns="http://schemas.openxmlformats.org/spreadsheetml/2006/main" count="144" uniqueCount="44">
  <si>
    <t>Etablissement</t>
  </si>
  <si>
    <t>College</t>
  </si>
  <si>
    <t>Bureau</t>
  </si>
  <si>
    <t>N/B</t>
  </si>
  <si>
    <t>Votes SAEEG</t>
  </si>
  <si>
    <t>Votes SYTSEEG</t>
  </si>
  <si>
    <t>Votes SYPEG</t>
  </si>
  <si>
    <t>Votes SYNTEE+</t>
  </si>
  <si>
    <t>Nom_Etablissement__Centre</t>
  </si>
  <si>
    <t>Etablissement Exploitations Littoral</t>
  </si>
  <si>
    <t xml:space="preserve">Salle de Réunion </t>
  </si>
  <si>
    <t>Etablissement Exploitations Ogooué-Ivindo</t>
  </si>
  <si>
    <t>Hall de l'infirmerie</t>
  </si>
  <si>
    <t>Etablissement Exploitations Woleu-Ntem</t>
  </si>
  <si>
    <t xml:space="preserve">Salle de réunion </t>
  </si>
  <si>
    <t>Etablissement Exploitations Moyen-Ogooué</t>
  </si>
  <si>
    <t>Etablissement Exploitations Ngounié</t>
  </si>
  <si>
    <t>Etablissement Exploitations Nyanga et Excentrées</t>
  </si>
  <si>
    <t>Etablissement Exploitations Franceville et Excentrées</t>
  </si>
  <si>
    <t>Etablissement Exploitations Moanda et Ogooué-Lolo</t>
  </si>
  <si>
    <t>COP de Ntoum</t>
  </si>
  <si>
    <t>Etablissement Exploitations Owendo - Damas</t>
  </si>
  <si>
    <t xml:space="preserve"> Salle G7</t>
  </si>
  <si>
    <t xml:space="preserve"> Salle G8</t>
  </si>
  <si>
    <t>Etablissement Nouveau Siège</t>
  </si>
  <si>
    <t>6ème étage</t>
  </si>
  <si>
    <t>7ème étage</t>
  </si>
  <si>
    <t>9ème étage</t>
  </si>
  <si>
    <t>Etablissement Ancien Siège - Serena Mall</t>
  </si>
  <si>
    <t>Restaurant</t>
  </si>
  <si>
    <t>Etablissement Base-Technique</t>
  </si>
  <si>
    <t>Salle de réunion DAS</t>
  </si>
  <si>
    <t>Atelier Maintenance</t>
  </si>
  <si>
    <t>Etablissement Peyrie</t>
  </si>
  <si>
    <t>Hall Peyrie</t>
  </si>
  <si>
    <t>Salle de réunion</t>
  </si>
  <si>
    <t>Etablissement Exploitations Nord</t>
  </si>
  <si>
    <t>Hall Agence Nzeng-Ayong</t>
  </si>
  <si>
    <t>Nom_plage</t>
  </si>
  <si>
    <t>Encadrement</t>
  </si>
  <si>
    <t>Exécution</t>
  </si>
  <si>
    <t>Cadre</t>
  </si>
  <si>
    <t>Maîtrise</t>
  </si>
  <si>
    <t>Etablissement Exploitations Ntoum et Vallée Mbê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</si>
</sst>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0" fillId="3" borderId="1" xfId="0" applyFill="1" applyBorder="1"/>
    <xf numFmtId="0" fontId="0" fillId="2" borderId="0" xfId="0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B3590-9AAC-4AB9-8E3D-972161DFFACF}">
  <sheetPr codeName="Feuil1"/>
  <dimension ref="A1:H22"/>
  <sheetViews>
    <sheetView tabSelected="1" workbookViewId="0">
      <selection activeCell="C4" sqref="C4"/>
    </sheetView>
  </sheetViews>
  <sheetFormatPr baseColWidth="10" defaultColWidth="11.19921875" defaultRowHeight="15.6" x14ac:dyDescent="0.3"/>
  <cols>
    <col min="1" max="1" width="44.19921875" style="3" bestFit="1" customWidth="1"/>
    <col min="2" max="2" width="8.69921875" style="3" bestFit="1" customWidth="1"/>
    <col min="3" max="3" width="8.69921875" style="3" customWidth="1"/>
    <col min="4" max="5" width="11.19921875" style="3" customWidth="1"/>
    <col min="6" max="6" width="13.19921875" style="3" customWidth="1"/>
    <col min="7" max="7" width="11.296875" style="3" customWidth="1"/>
    <col min="8" max="8" width="13.296875" style="3" customWidth="1"/>
    <col min="9" max="16384" width="11.19921875" style="3"/>
  </cols>
  <sheetData>
    <row r="1" spans="1:8" ht="16.2" thickBot="1" x14ac:dyDescent="0.3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">
      <c r="A2" s="4"/>
      <c r="B2" s="4"/>
      <c r="C2" s="4"/>
    </row>
    <row r="3" spans="1:8" x14ac:dyDescent="0.3">
      <c r="A3" s="4"/>
      <c r="B3" s="4"/>
      <c r="C3" s="4"/>
    </row>
    <row r="4" spans="1:8" x14ac:dyDescent="0.3">
      <c r="A4" s="4"/>
      <c r="B4" s="4"/>
      <c r="C4" s="4"/>
    </row>
    <row r="5" spans="1:8" x14ac:dyDescent="0.3">
      <c r="A5" s="4"/>
      <c r="B5" s="4"/>
      <c r="C5" s="4"/>
    </row>
    <row r="6" spans="1:8" x14ac:dyDescent="0.3">
      <c r="A6" s="4"/>
      <c r="B6" s="4"/>
      <c r="C6" s="4"/>
    </row>
    <row r="7" spans="1:8" x14ac:dyDescent="0.3">
      <c r="A7" s="4"/>
      <c r="B7" s="4"/>
      <c r="C7" s="4"/>
    </row>
    <row r="8" spans="1:8" x14ac:dyDescent="0.3">
      <c r="A8" s="4"/>
      <c r="B8" s="4"/>
      <c r="C8" s="4"/>
    </row>
    <row r="9" spans="1:8" x14ac:dyDescent="0.3">
      <c r="A9" s="4"/>
      <c r="B9" s="4"/>
      <c r="C9" s="4"/>
    </row>
    <row r="10" spans="1:8" x14ac:dyDescent="0.3">
      <c r="A10" s="4"/>
    </row>
    <row r="11" spans="1:8" x14ac:dyDescent="0.3">
      <c r="A11" s="4"/>
    </row>
    <row r="12" spans="1:8" x14ac:dyDescent="0.3">
      <c r="A12" s="4"/>
    </row>
    <row r="13" spans="1:8" x14ac:dyDescent="0.3">
      <c r="A13" s="4"/>
    </row>
    <row r="14" spans="1:8" x14ac:dyDescent="0.3">
      <c r="A14" s="4"/>
    </row>
    <row r="15" spans="1:8" x14ac:dyDescent="0.3">
      <c r="A15" s="4"/>
    </row>
    <row r="16" spans="1:8" x14ac:dyDescent="0.3">
      <c r="A16" s="4"/>
    </row>
    <row r="17" spans="1:1" x14ac:dyDescent="0.3">
      <c r="A17" s="4"/>
    </row>
    <row r="18" spans="1:1" x14ac:dyDescent="0.3">
      <c r="A18" s="4"/>
    </row>
    <row r="19" spans="1:1" x14ac:dyDescent="0.3">
      <c r="A19" s="4"/>
    </row>
    <row r="20" spans="1:1" x14ac:dyDescent="0.3">
      <c r="A20" s="4"/>
    </row>
    <row r="21" spans="1:1" x14ac:dyDescent="0.3">
      <c r="A21" s="4"/>
    </row>
    <row r="22" spans="1:1" x14ac:dyDescent="0.3">
      <c r="A22" s="4"/>
    </row>
  </sheetData>
  <dataValidations count="2">
    <dataValidation type="list" allowBlank="1" showInputMessage="1" showErrorMessage="1" sqref="C2:C43" xr:uid="{DCEAA1C9-2E0D-4F40-AE75-6B2C02E21048}">
      <formula1>INDIRECT(SUBSTITUTE(SUBSTITUTE(RIGHT(A2,LEN(A2)-LEN("Etablissement "))," ","_"),"-","_"))</formula1>
    </dataValidation>
    <dataValidation type="list" allowBlank="1" showInputMessage="1" showErrorMessage="1" sqref="B2:B43" xr:uid="{A6B43E73-B71E-4BEC-AC79-52C0DAA8B6B6}">
      <formula1>INDIRECT(_xlfn.CONCAT(SUBSTITUTE(SUBSTITUTE(RIGHT(A2,LEN(A2)-LEN("Etablissement "))," ","_"),"-","_"),"_2"))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8A77400-A632-4D72-9933-11D8A2958F24}">
          <x14:formula1>
            <xm:f>Etablissements!$A$2:$A$16</xm:f>
          </x14:formula1>
          <xm:sqref>A2:A43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C82BA-EEA0-47D8-998A-8A2EE5D77FA3}">
  <sheetPr codeName="Feuil4">
    <tabColor rgb="FF00B050"/>
  </sheetPr>
  <dimension ref="A1:A16"/>
  <sheetViews>
    <sheetView zoomScale="122" workbookViewId="0">
      <selection activeCell="A11" sqref="A11"/>
    </sheetView>
  </sheetViews>
  <sheetFormatPr baseColWidth="10" defaultRowHeight="15.6" x14ac:dyDescent="0.3"/>
  <cols>
    <col min="1" max="1" width="44.5" style="4" bestFit="1" customWidth="1"/>
    <col min="2" max="16384" width="11.19921875" style="4"/>
  </cols>
  <sheetData>
    <row r="1" spans="1:1" ht="16.2" thickBot="1" x14ac:dyDescent="0.35">
      <c r="A1" s="1" t="s">
        <v>8</v>
      </c>
    </row>
    <row r="2" spans="1:1" x14ac:dyDescent="0.3">
      <c r="A2" s="4" t="s">
        <v>9</v>
      </c>
    </row>
    <row r="3" spans="1:1" x14ac:dyDescent="0.3">
      <c r="A3" s="4" t="s">
        <v>11</v>
      </c>
    </row>
    <row r="4" spans="1:1" x14ac:dyDescent="0.3">
      <c r="A4" s="4" t="s">
        <v>13</v>
      </c>
    </row>
    <row r="5" spans="1:1" x14ac:dyDescent="0.3">
      <c r="A5" s="4" t="s">
        <v>15</v>
      </c>
    </row>
    <row r="6" spans="1:1" x14ac:dyDescent="0.3">
      <c r="A6" s="4" t="s">
        <v>16</v>
      </c>
    </row>
    <row r="7" spans="1:1" x14ac:dyDescent="0.3">
      <c r="A7" s="4" t="s">
        <v>17</v>
      </c>
    </row>
    <row r="8" spans="1:1" x14ac:dyDescent="0.3">
      <c r="A8" s="4" t="s">
        <v>18</v>
      </c>
    </row>
    <row r="9" spans="1:1" x14ac:dyDescent="0.3">
      <c r="A9" s="4" t="s">
        <v>19</v>
      </c>
    </row>
    <row r="10" spans="1:1" x14ac:dyDescent="0.3">
      <c r="A10" s="4" t="s">
        <v>43</v>
      </c>
    </row>
    <row r="11" spans="1:1" x14ac:dyDescent="0.3">
      <c r="A11" s="4" t="s">
        <v>21</v>
      </c>
    </row>
    <row r="12" spans="1:1" x14ac:dyDescent="0.3">
      <c r="A12" s="4" t="s">
        <v>24</v>
      </c>
    </row>
    <row r="13" spans="1:1" x14ac:dyDescent="0.3">
      <c r="A13" s="4" t="s">
        <v>28</v>
      </c>
    </row>
    <row r="14" spans="1:1" x14ac:dyDescent="0.3">
      <c r="A14" s="4" t="s">
        <v>30</v>
      </c>
    </row>
    <row r="15" spans="1:1" x14ac:dyDescent="0.3">
      <c r="A15" s="4" t="s">
        <v>33</v>
      </c>
    </row>
    <row r="16" spans="1:1" x14ac:dyDescent="0.3">
      <c r="A16" s="4" t="s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EF4EA-3E04-4437-973C-A2F2BA441DA4}">
  <sheetPr codeName="Feuil2">
    <tabColor rgb="FF00B050"/>
  </sheetPr>
  <dimension ref="A1:C21"/>
  <sheetViews>
    <sheetView zoomScale="73" workbookViewId="0">
      <selection activeCell="B10" sqref="B10"/>
    </sheetView>
  </sheetViews>
  <sheetFormatPr baseColWidth="10" defaultRowHeight="15.6" x14ac:dyDescent="0.3"/>
  <cols>
    <col min="1" max="1" width="44.5" style="4" bestFit="1" customWidth="1"/>
    <col min="2" max="2" width="36.3984375" style="4" bestFit="1" customWidth="1"/>
    <col min="3" max="16384" width="11.19921875" style="4"/>
  </cols>
  <sheetData>
    <row r="1" spans="1:3" ht="16.2" thickBot="1" x14ac:dyDescent="0.35">
      <c r="A1" s="1" t="s">
        <v>8</v>
      </c>
      <c r="B1" s="1" t="s">
        <v>2</v>
      </c>
      <c r="C1" s="4" t="s">
        <v>38</v>
      </c>
    </row>
    <row r="2" spans="1:3" x14ac:dyDescent="0.3">
      <c r="A2" s="4" t="s">
        <v>9</v>
      </c>
      <c r="B2" s="4" t="s">
        <v>10</v>
      </c>
      <c r="C2" s="4" t="str">
        <f>SUBSTITUTE(SUBSTITUTE(RIGHT(A2,LEN(A2)-LEN("Etablissement "))," ","_"),"-","_")</f>
        <v>Exploitations_Littoral</v>
      </c>
    </row>
    <row r="3" spans="1:3" x14ac:dyDescent="0.3">
      <c r="A3" s="4" t="s">
        <v>11</v>
      </c>
      <c r="B3" s="4" t="s">
        <v>12</v>
      </c>
      <c r="C3" s="4" t="str">
        <f t="shared" ref="C3:C21" si="0">SUBSTITUTE(SUBSTITUTE(RIGHT(A3,LEN(A3)-LEN("Etablissement "))," ","_"),"-","_")</f>
        <v>Exploitations_Ogooué_Ivindo</v>
      </c>
    </row>
    <row r="4" spans="1:3" x14ac:dyDescent="0.3">
      <c r="A4" s="4" t="s">
        <v>13</v>
      </c>
      <c r="B4" s="4" t="s">
        <v>14</v>
      </c>
      <c r="C4" s="4" t="str">
        <f t="shared" si="0"/>
        <v>Exploitations_Woleu_Ntem</v>
      </c>
    </row>
    <row r="5" spans="1:3" x14ac:dyDescent="0.3">
      <c r="A5" s="4" t="s">
        <v>15</v>
      </c>
      <c r="B5" s="4" t="s">
        <v>14</v>
      </c>
      <c r="C5" s="4" t="str">
        <f t="shared" si="0"/>
        <v>Exploitations_Moyen_Ogooué</v>
      </c>
    </row>
    <row r="6" spans="1:3" x14ac:dyDescent="0.3">
      <c r="A6" s="4" t="s">
        <v>16</v>
      </c>
      <c r="B6" s="4" t="s">
        <v>14</v>
      </c>
      <c r="C6" s="4" t="str">
        <f t="shared" si="0"/>
        <v>Exploitations_Ngounié</v>
      </c>
    </row>
    <row r="7" spans="1:3" x14ac:dyDescent="0.3">
      <c r="A7" s="4" t="s">
        <v>17</v>
      </c>
      <c r="B7" s="4" t="s">
        <v>14</v>
      </c>
      <c r="C7" s="4" t="str">
        <f t="shared" si="0"/>
        <v>Exploitations_Nyanga_et_Excentrées</v>
      </c>
    </row>
    <row r="8" spans="1:3" x14ac:dyDescent="0.3">
      <c r="A8" s="4" t="s">
        <v>18</v>
      </c>
      <c r="B8" s="4" t="s">
        <v>14</v>
      </c>
      <c r="C8" s="4" t="str">
        <f t="shared" si="0"/>
        <v>Exploitations_Franceville_et_Excentrées</v>
      </c>
    </row>
    <row r="9" spans="1:3" x14ac:dyDescent="0.3">
      <c r="A9" s="4" t="s">
        <v>19</v>
      </c>
      <c r="B9" s="4" t="s">
        <v>14</v>
      </c>
      <c r="C9" s="4" t="str">
        <f t="shared" si="0"/>
        <v>Exploitations_Moanda_et_Ogooué_Lolo</v>
      </c>
    </row>
    <row r="10" spans="1:3" x14ac:dyDescent="0.3">
      <c r="A10" s="4" t="s">
        <v>43</v>
      </c>
      <c r="B10" s="4" t="s">
        <v>20</v>
      </c>
      <c r="C10" s="4" t="str">
        <f t="shared" si="0"/>
        <v>Exploitations_Ntoum_et_Vallée_Mbê</v>
      </c>
    </row>
    <row r="11" spans="1:3" x14ac:dyDescent="0.3">
      <c r="A11" s="4" t="s">
        <v>21</v>
      </c>
      <c r="B11" s="4" t="s">
        <v>22</v>
      </c>
      <c r="C11" s="4" t="str">
        <f t="shared" si="0"/>
        <v>Exploitations_Owendo___Damas</v>
      </c>
    </row>
    <row r="12" spans="1:3" x14ac:dyDescent="0.3">
      <c r="A12" s="4" t="s">
        <v>21</v>
      </c>
      <c r="B12" s="4" t="s">
        <v>23</v>
      </c>
      <c r="C12" s="4" t="str">
        <f t="shared" si="0"/>
        <v>Exploitations_Owendo___Damas</v>
      </c>
    </row>
    <row r="13" spans="1:3" x14ac:dyDescent="0.3">
      <c r="A13" s="4" t="s">
        <v>24</v>
      </c>
      <c r="B13" s="4" t="s">
        <v>25</v>
      </c>
      <c r="C13" s="4" t="str">
        <f t="shared" si="0"/>
        <v>Nouveau_Siège</v>
      </c>
    </row>
    <row r="14" spans="1:3" x14ac:dyDescent="0.3">
      <c r="A14" s="4" t="s">
        <v>24</v>
      </c>
      <c r="B14" s="4" t="s">
        <v>26</v>
      </c>
      <c r="C14" s="4" t="str">
        <f t="shared" si="0"/>
        <v>Nouveau_Siège</v>
      </c>
    </row>
    <row r="15" spans="1:3" x14ac:dyDescent="0.3">
      <c r="A15" s="4" t="s">
        <v>24</v>
      </c>
      <c r="B15" s="4" t="s">
        <v>27</v>
      </c>
      <c r="C15" s="4" t="str">
        <f t="shared" si="0"/>
        <v>Nouveau_Siège</v>
      </c>
    </row>
    <row r="16" spans="1:3" x14ac:dyDescent="0.3">
      <c r="A16" s="4" t="s">
        <v>28</v>
      </c>
      <c r="B16" s="4" t="s">
        <v>29</v>
      </c>
      <c r="C16" s="4" t="str">
        <f t="shared" si="0"/>
        <v>Ancien_Siège___Serena_Mall</v>
      </c>
    </row>
    <row r="17" spans="1:3" x14ac:dyDescent="0.3">
      <c r="A17" s="4" t="s">
        <v>30</v>
      </c>
      <c r="B17" s="4" t="s">
        <v>31</v>
      </c>
      <c r="C17" s="4" t="str">
        <f t="shared" si="0"/>
        <v>Base_Technique</v>
      </c>
    </row>
    <row r="18" spans="1:3" x14ac:dyDescent="0.3">
      <c r="A18" s="4" t="s">
        <v>30</v>
      </c>
      <c r="B18" s="4" t="s">
        <v>32</v>
      </c>
      <c r="C18" s="4" t="str">
        <f t="shared" si="0"/>
        <v>Base_Technique</v>
      </c>
    </row>
    <row r="19" spans="1:3" x14ac:dyDescent="0.3">
      <c r="A19" s="4" t="s">
        <v>33</v>
      </c>
      <c r="B19" s="4" t="s">
        <v>34</v>
      </c>
      <c r="C19" s="4" t="str">
        <f t="shared" si="0"/>
        <v>Peyrie</v>
      </c>
    </row>
    <row r="20" spans="1:3" x14ac:dyDescent="0.3">
      <c r="A20" s="4" t="s">
        <v>33</v>
      </c>
      <c r="B20" s="4" t="s">
        <v>35</v>
      </c>
      <c r="C20" s="4" t="str">
        <f t="shared" si="0"/>
        <v>Peyrie</v>
      </c>
    </row>
    <row r="21" spans="1:3" x14ac:dyDescent="0.3">
      <c r="A21" s="4" t="s">
        <v>36</v>
      </c>
      <c r="B21" s="4" t="s">
        <v>37</v>
      </c>
      <c r="C21" s="4" t="str">
        <f t="shared" si="0"/>
        <v>Exploitations_Nord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D715D-EE30-4246-A35B-946350F88132}">
  <sheetPr codeName="Feuil3">
    <tabColor rgb="FF00B050"/>
  </sheetPr>
  <dimension ref="A1:C38"/>
  <sheetViews>
    <sheetView topLeftCell="A2" zoomScale="102" workbookViewId="0">
      <selection activeCell="A22" sqref="A22"/>
    </sheetView>
  </sheetViews>
  <sheetFormatPr baseColWidth="10" defaultRowHeight="15.6" x14ac:dyDescent="0.3"/>
  <cols>
    <col min="1" max="1" width="44.5" style="4" bestFit="1" customWidth="1"/>
    <col min="2" max="2" width="21.8984375" style="4" customWidth="1"/>
    <col min="3" max="16384" width="11.19921875" style="4"/>
  </cols>
  <sheetData>
    <row r="1" spans="1:3" ht="16.2" thickBot="1" x14ac:dyDescent="0.35">
      <c r="A1" s="1" t="s">
        <v>8</v>
      </c>
      <c r="B1" s="1" t="s">
        <v>1</v>
      </c>
      <c r="C1" s="4" t="s">
        <v>38</v>
      </c>
    </row>
    <row r="2" spans="1:3" x14ac:dyDescent="0.3">
      <c r="A2" s="4" t="s">
        <v>9</v>
      </c>
      <c r="B2" s="4" t="s">
        <v>39</v>
      </c>
      <c r="C2" s="4" t="str">
        <f>_xlfn.CONCAT(SUBSTITUTE(SUBSTITUTE(RIGHT(A2,LEN(A2)-LEN("Etablissement "))," ","_"),"-","_"),"_2")</f>
        <v>Exploitations_Littoral_2</v>
      </c>
    </row>
    <row r="3" spans="1:3" x14ac:dyDescent="0.3">
      <c r="A3" s="4" t="s">
        <v>9</v>
      </c>
      <c r="B3" s="4" t="s">
        <v>40</v>
      </c>
      <c r="C3" s="4" t="str">
        <f t="shared" ref="C3:C38" si="0">_xlfn.CONCAT(SUBSTITUTE(SUBSTITUTE(RIGHT(A3,LEN(A3)-LEN("Etablissement "))," ","_"),"-","_"),"_2")</f>
        <v>Exploitations_Littoral_2</v>
      </c>
    </row>
    <row r="4" spans="1:3" x14ac:dyDescent="0.3">
      <c r="A4" s="4" t="s">
        <v>11</v>
      </c>
      <c r="B4" s="4" t="s">
        <v>39</v>
      </c>
      <c r="C4" s="4" t="str">
        <f t="shared" si="0"/>
        <v>Exploitations_Ogooué_Ivindo_2</v>
      </c>
    </row>
    <row r="5" spans="1:3" x14ac:dyDescent="0.3">
      <c r="A5" s="4" t="s">
        <v>11</v>
      </c>
      <c r="B5" s="4" t="s">
        <v>40</v>
      </c>
      <c r="C5" s="4" t="str">
        <f t="shared" si="0"/>
        <v>Exploitations_Ogooué_Ivindo_2</v>
      </c>
    </row>
    <row r="6" spans="1:3" x14ac:dyDescent="0.3">
      <c r="A6" s="4" t="s">
        <v>13</v>
      </c>
      <c r="B6" s="4" t="s">
        <v>41</v>
      </c>
      <c r="C6" s="4" t="str">
        <f t="shared" si="0"/>
        <v>Exploitations_Woleu_Ntem_2</v>
      </c>
    </row>
    <row r="7" spans="1:3" x14ac:dyDescent="0.3">
      <c r="A7" s="4" t="s">
        <v>13</v>
      </c>
      <c r="B7" s="4" t="s">
        <v>42</v>
      </c>
      <c r="C7" s="4" t="str">
        <f t="shared" si="0"/>
        <v>Exploitations_Woleu_Ntem_2</v>
      </c>
    </row>
    <row r="8" spans="1:3" x14ac:dyDescent="0.3">
      <c r="A8" s="4" t="s">
        <v>13</v>
      </c>
      <c r="B8" s="4" t="s">
        <v>40</v>
      </c>
      <c r="C8" s="4" t="str">
        <f t="shared" si="0"/>
        <v>Exploitations_Woleu_Ntem_2</v>
      </c>
    </row>
    <row r="9" spans="1:3" x14ac:dyDescent="0.3">
      <c r="A9" s="4" t="s">
        <v>15</v>
      </c>
      <c r="B9" s="4" t="s">
        <v>39</v>
      </c>
      <c r="C9" s="4" t="str">
        <f t="shared" si="0"/>
        <v>Exploitations_Moyen_Ogooué_2</v>
      </c>
    </row>
    <row r="10" spans="1:3" x14ac:dyDescent="0.3">
      <c r="A10" s="4" t="s">
        <v>15</v>
      </c>
      <c r="B10" s="4" t="s">
        <v>40</v>
      </c>
      <c r="C10" s="4" t="str">
        <f t="shared" si="0"/>
        <v>Exploitations_Moyen_Ogooué_2</v>
      </c>
    </row>
    <row r="11" spans="1:3" x14ac:dyDescent="0.3">
      <c r="A11" s="4" t="s">
        <v>16</v>
      </c>
      <c r="B11" s="4" t="s">
        <v>41</v>
      </c>
      <c r="C11" s="4" t="str">
        <f t="shared" si="0"/>
        <v>Exploitations_Ngounié_2</v>
      </c>
    </row>
    <row r="12" spans="1:3" x14ac:dyDescent="0.3">
      <c r="A12" s="4" t="s">
        <v>16</v>
      </c>
      <c r="B12" s="4" t="s">
        <v>42</v>
      </c>
      <c r="C12" s="4" t="str">
        <f t="shared" si="0"/>
        <v>Exploitations_Ngounié_2</v>
      </c>
    </row>
    <row r="13" spans="1:3" x14ac:dyDescent="0.3">
      <c r="A13" s="4" t="s">
        <v>16</v>
      </c>
      <c r="B13" s="4" t="s">
        <v>40</v>
      </c>
      <c r="C13" s="4" t="str">
        <f t="shared" si="0"/>
        <v>Exploitations_Ngounié_2</v>
      </c>
    </row>
    <row r="14" spans="1:3" x14ac:dyDescent="0.3">
      <c r="A14" s="4" t="s">
        <v>17</v>
      </c>
      <c r="B14" s="4" t="s">
        <v>39</v>
      </c>
      <c r="C14" s="4" t="str">
        <f t="shared" si="0"/>
        <v>Exploitations_Nyanga_et_Excentrées_2</v>
      </c>
    </row>
    <row r="15" spans="1:3" x14ac:dyDescent="0.3">
      <c r="A15" s="4" t="s">
        <v>17</v>
      </c>
      <c r="B15" s="4" t="s">
        <v>40</v>
      </c>
      <c r="C15" s="4" t="str">
        <f t="shared" si="0"/>
        <v>Exploitations_Nyanga_et_Excentrées_2</v>
      </c>
    </row>
    <row r="16" spans="1:3" x14ac:dyDescent="0.3">
      <c r="A16" s="4" t="s">
        <v>18</v>
      </c>
      <c r="B16" s="4" t="s">
        <v>41</v>
      </c>
      <c r="C16" s="4" t="str">
        <f t="shared" si="0"/>
        <v>Exploitations_Franceville_et_Excentrées_2</v>
      </c>
    </row>
    <row r="17" spans="1:3" x14ac:dyDescent="0.3">
      <c r="A17" s="4" t="s">
        <v>18</v>
      </c>
      <c r="B17" s="4" t="s">
        <v>42</v>
      </c>
      <c r="C17" s="4" t="str">
        <f t="shared" si="0"/>
        <v>Exploitations_Franceville_et_Excentrées_2</v>
      </c>
    </row>
    <row r="18" spans="1:3" x14ac:dyDescent="0.3">
      <c r="A18" s="4" t="s">
        <v>18</v>
      </c>
      <c r="B18" s="4" t="s">
        <v>40</v>
      </c>
      <c r="C18" s="4" t="str">
        <f t="shared" si="0"/>
        <v>Exploitations_Franceville_et_Excentrées_2</v>
      </c>
    </row>
    <row r="19" spans="1:3" x14ac:dyDescent="0.3">
      <c r="A19" s="4" t="s">
        <v>19</v>
      </c>
      <c r="B19" s="4" t="s">
        <v>39</v>
      </c>
      <c r="C19" s="4" t="str">
        <f t="shared" si="0"/>
        <v>Exploitations_Moanda_et_Ogooué_Lolo_2</v>
      </c>
    </row>
    <row r="20" spans="1:3" x14ac:dyDescent="0.3">
      <c r="A20" s="4" t="s">
        <v>19</v>
      </c>
      <c r="B20" s="4" t="s">
        <v>40</v>
      </c>
      <c r="C20" s="4" t="str">
        <f t="shared" si="0"/>
        <v>Exploitations_Moanda_et_Ogooué_Lolo_2</v>
      </c>
    </row>
    <row r="21" spans="1:3" x14ac:dyDescent="0.3">
      <c r="A21" s="4" t="s">
        <v>43</v>
      </c>
      <c r="B21" s="4" t="s">
        <v>41</v>
      </c>
      <c r="C21" s="4" t="str">
        <f t="shared" si="0"/>
        <v>Exploitations_Ntoum_et_Vallée_Mbê_2</v>
      </c>
    </row>
    <row r="22" spans="1:3" x14ac:dyDescent="0.3">
      <c r="A22" s="4" t="s">
        <v>43</v>
      </c>
      <c r="B22" s="4" t="s">
        <v>42</v>
      </c>
      <c r="C22" s="4" t="str">
        <f t="shared" si="0"/>
        <v>Exploitations_Ntoum_et_Vallée_Mbê_2</v>
      </c>
    </row>
    <row r="23" spans="1:3" x14ac:dyDescent="0.3">
      <c r="A23" s="4" t="s">
        <v>43</v>
      </c>
      <c r="B23" s="4" t="s">
        <v>40</v>
      </c>
      <c r="C23" s="4" t="str">
        <f t="shared" si="0"/>
        <v>Exploitations_Ntoum_et_Vallée_Mbê_2</v>
      </c>
    </row>
    <row r="24" spans="1:3" x14ac:dyDescent="0.3">
      <c r="A24" s="4" t="s">
        <v>21</v>
      </c>
      <c r="B24" s="4" t="s">
        <v>39</v>
      </c>
      <c r="C24" s="4" t="str">
        <f t="shared" si="0"/>
        <v>Exploitations_Owendo___Damas_2</v>
      </c>
    </row>
    <row r="25" spans="1:3" x14ac:dyDescent="0.3">
      <c r="A25" s="4" t="s">
        <v>21</v>
      </c>
      <c r="B25" s="4" t="s">
        <v>40</v>
      </c>
      <c r="C25" s="4" t="str">
        <f t="shared" si="0"/>
        <v>Exploitations_Owendo___Damas_2</v>
      </c>
    </row>
    <row r="26" spans="1:3" x14ac:dyDescent="0.3">
      <c r="A26" s="4" t="s">
        <v>24</v>
      </c>
      <c r="B26" s="4" t="s">
        <v>41</v>
      </c>
      <c r="C26" s="4" t="str">
        <f t="shared" si="0"/>
        <v>Nouveau_Siège_2</v>
      </c>
    </row>
    <row r="27" spans="1:3" x14ac:dyDescent="0.3">
      <c r="A27" s="4" t="s">
        <v>24</v>
      </c>
      <c r="B27" s="4" t="s">
        <v>42</v>
      </c>
      <c r="C27" s="4" t="str">
        <f t="shared" si="0"/>
        <v>Nouveau_Siège_2</v>
      </c>
    </row>
    <row r="28" spans="1:3" x14ac:dyDescent="0.3">
      <c r="A28" s="4" t="s">
        <v>24</v>
      </c>
      <c r="B28" s="4" t="s">
        <v>40</v>
      </c>
      <c r="C28" s="4" t="str">
        <f t="shared" si="0"/>
        <v>Nouveau_Siège_2</v>
      </c>
    </row>
    <row r="29" spans="1:3" x14ac:dyDescent="0.3">
      <c r="A29" s="4" t="s">
        <v>28</v>
      </c>
      <c r="B29" s="4" t="s">
        <v>41</v>
      </c>
      <c r="C29" s="4" t="str">
        <f t="shared" si="0"/>
        <v>Ancien_Siège___Serena_Mall_2</v>
      </c>
    </row>
    <row r="30" spans="1:3" x14ac:dyDescent="0.3">
      <c r="A30" s="4" t="s">
        <v>28</v>
      </c>
      <c r="B30" s="4" t="s">
        <v>42</v>
      </c>
      <c r="C30" s="4" t="str">
        <f t="shared" si="0"/>
        <v>Ancien_Siège___Serena_Mall_2</v>
      </c>
    </row>
    <row r="31" spans="1:3" x14ac:dyDescent="0.3">
      <c r="A31" s="4" t="s">
        <v>28</v>
      </c>
      <c r="B31" s="4" t="s">
        <v>40</v>
      </c>
      <c r="C31" s="4" t="str">
        <f t="shared" si="0"/>
        <v>Ancien_Siège___Serena_Mall_2</v>
      </c>
    </row>
    <row r="32" spans="1:3" x14ac:dyDescent="0.3">
      <c r="A32" s="4" t="s">
        <v>30</v>
      </c>
      <c r="B32" s="4" t="s">
        <v>41</v>
      </c>
      <c r="C32" s="4" t="str">
        <f t="shared" si="0"/>
        <v>Base_Technique_2</v>
      </c>
    </row>
    <row r="33" spans="1:3" x14ac:dyDescent="0.3">
      <c r="A33" s="4" t="s">
        <v>30</v>
      </c>
      <c r="B33" s="4" t="s">
        <v>42</v>
      </c>
      <c r="C33" s="4" t="str">
        <f t="shared" si="0"/>
        <v>Base_Technique_2</v>
      </c>
    </row>
    <row r="34" spans="1:3" x14ac:dyDescent="0.3">
      <c r="A34" s="4" t="s">
        <v>30</v>
      </c>
      <c r="B34" s="4" t="s">
        <v>40</v>
      </c>
      <c r="C34" s="4" t="str">
        <f t="shared" si="0"/>
        <v>Base_Technique_2</v>
      </c>
    </row>
    <row r="35" spans="1:3" x14ac:dyDescent="0.3">
      <c r="A35" s="4" t="s">
        <v>33</v>
      </c>
      <c r="B35" s="4" t="s">
        <v>39</v>
      </c>
      <c r="C35" s="4" t="str">
        <f t="shared" si="0"/>
        <v>Peyrie_2</v>
      </c>
    </row>
    <row r="36" spans="1:3" x14ac:dyDescent="0.3">
      <c r="A36" s="4" t="s">
        <v>33</v>
      </c>
      <c r="B36" s="4" t="s">
        <v>40</v>
      </c>
      <c r="C36" s="4" t="str">
        <f t="shared" si="0"/>
        <v>Peyrie_2</v>
      </c>
    </row>
    <row r="37" spans="1:3" x14ac:dyDescent="0.3">
      <c r="A37" s="4" t="s">
        <v>36</v>
      </c>
      <c r="B37" s="4" t="s">
        <v>39</v>
      </c>
      <c r="C37" s="4" t="str">
        <f t="shared" si="0"/>
        <v>Exploitations_Nord_2</v>
      </c>
    </row>
    <row r="38" spans="1:3" x14ac:dyDescent="0.3">
      <c r="A38" s="4" t="s">
        <v>36</v>
      </c>
      <c r="B38" s="4" t="s">
        <v>40</v>
      </c>
      <c r="C38" s="4" t="str">
        <f t="shared" si="0"/>
        <v>Exploitations_Nord_2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30</vt:i4>
      </vt:variant>
    </vt:vector>
  </HeadingPairs>
  <TitlesOfParts>
    <vt:vector size="31" baseType="lpstr">
      <vt:lpstr>saisie</vt:lpstr>
      <vt:lpstr>Ancien_Siège___Serena_Mall</vt:lpstr>
      <vt:lpstr>Ancien_Siège___Serena_Mall_2</vt:lpstr>
      <vt:lpstr>Base_Technique</vt:lpstr>
      <vt:lpstr>Base_Technique_2</vt:lpstr>
      <vt:lpstr>Exploitations_Franceville_et_Excentrées</vt:lpstr>
      <vt:lpstr>Exploitations_Franceville_et_Excentrées_2</vt:lpstr>
      <vt:lpstr>Exploitations_Littoral</vt:lpstr>
      <vt:lpstr>Exploitations_Littoral_2</vt:lpstr>
      <vt:lpstr>Exploitations_Moanda_et_Ogooué_Lolo</vt:lpstr>
      <vt:lpstr>Exploitations_Moanda_et_Ogooué_Lolo_2</vt:lpstr>
      <vt:lpstr>Exploitations_Moyen_Ogooué</vt:lpstr>
      <vt:lpstr>Exploitations_Moyen_Ogooué_2</vt:lpstr>
      <vt:lpstr>Exploitations_Ngounié</vt:lpstr>
      <vt:lpstr>Exploitations_Ngounié_2</vt:lpstr>
      <vt:lpstr>Exploitations_Nord</vt:lpstr>
      <vt:lpstr>Exploitations_Nord_2</vt:lpstr>
      <vt:lpstr>Exploitations_Ntoum_et_Vallée_Mbê</vt:lpstr>
      <vt:lpstr>Exploitations_Ntoum_et_Vallée_Mbê_2</vt:lpstr>
      <vt:lpstr>Exploitations_Nyanga_et_Excentrées</vt:lpstr>
      <vt:lpstr>Exploitations_Nyanga_et_Excentrées_2</vt:lpstr>
      <vt:lpstr>Exploitations_Ogooué_Ivindo</vt:lpstr>
      <vt:lpstr>Exploitations_Ogooué_Ivindo_2</vt:lpstr>
      <vt:lpstr>Exploitations_Owendo___Damas</vt:lpstr>
      <vt:lpstr>Exploitations_Owendo___Damas_2</vt:lpstr>
      <vt:lpstr>Exploitations_Woleu_Ntem</vt:lpstr>
      <vt:lpstr>Exploitations_Woleu_Ntem_2</vt:lpstr>
      <vt:lpstr>Nouveau_Siège</vt:lpstr>
      <vt:lpstr>Nouveau_Siège_2</vt:lpstr>
      <vt:lpstr>Peyrie</vt:lpstr>
      <vt:lpstr>Peyrie_2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Melchise Dek Khalil Anwar Ngoua</dc:creator>
  <cp:lastModifiedBy>Melchise Dek Khalil Anwar Ngoua</cp:lastModifiedBy>
  <dcterms:created xsi:type="dcterms:W3CDTF">2026-06-02T12:45:19Z</dcterms:created>
  <dcterms:modified xsi:type="dcterms:W3CDTF">2026-06-02T13:45:57Z</dcterms:modified>
</cp:coreProperties>
</file>